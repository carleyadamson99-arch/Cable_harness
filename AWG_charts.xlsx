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by\OneDrive\Documents\INSY_7740\Final_project\"/>
    </mc:Choice>
  </mc:AlternateContent>
  <xr:revisionPtr revIDLastSave="0" documentId="13_ncr:1_{886F543C-EEE5-445D-A999-05C57F2E6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ent Capacity" sheetId="6" r:id="rId1"/>
    <sheet name="Conductor Area" sheetId="4" r:id="rId2"/>
    <sheet name="Model" sheetId="1" r:id="rId3"/>
  </sheets>
  <definedNames>
    <definedName name="_xlnm._FilterDatabase" localSheetId="2" hidden="1">Model!$A$1:$M$45</definedName>
    <definedName name="Temperature_C">'Current Capacity'!$B$24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I4" i="6"/>
  <c r="I25" i="6"/>
  <c r="AX2" i="4" l="1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I27" i="6"/>
  <c r="K25" i="6" s="1"/>
  <c r="I28" i="6"/>
  <c r="L25" i="6" s="1"/>
  <c r="I29" i="6"/>
  <c r="M25" i="6" s="1"/>
  <c r="I30" i="6"/>
  <c r="N25" i="6" s="1"/>
  <c r="I31" i="6"/>
  <c r="O25" i="6" s="1"/>
  <c r="I32" i="6"/>
  <c r="P25" i="6" s="1"/>
  <c r="I33" i="6"/>
  <c r="Q25" i="6" s="1"/>
  <c r="I34" i="6"/>
  <c r="R25" i="6" s="1"/>
  <c r="I35" i="6"/>
  <c r="S25" i="6" s="1"/>
  <c r="I36" i="6"/>
  <c r="T25" i="6" s="1"/>
  <c r="I37" i="6"/>
  <c r="U25" i="6" s="1"/>
  <c r="I38" i="6"/>
  <c r="V25" i="6" s="1"/>
  <c r="I39" i="6"/>
  <c r="W25" i="6" s="1"/>
  <c r="I40" i="6"/>
  <c r="X25" i="6" s="1"/>
  <c r="I41" i="6"/>
  <c r="Y25" i="6" s="1"/>
  <c r="I42" i="6"/>
  <c r="Z25" i="6" s="1"/>
  <c r="I43" i="6"/>
  <c r="AA25" i="6" s="1"/>
  <c r="I26" i="6"/>
  <c r="J25" i="6" s="1"/>
  <c r="H43" i="6"/>
  <c r="AA24" i="6" s="1"/>
  <c r="H42" i="6"/>
  <c r="Z24" i="6" s="1"/>
  <c r="H41" i="6"/>
  <c r="Y24" i="6" s="1"/>
  <c r="H40" i="6"/>
  <c r="X24" i="6" s="1"/>
  <c r="H39" i="6"/>
  <c r="W24" i="6" s="1"/>
  <c r="H38" i="6"/>
  <c r="V24" i="6" s="1"/>
  <c r="H37" i="6"/>
  <c r="U24" i="6" s="1"/>
  <c r="H36" i="6"/>
  <c r="T24" i="6" s="1"/>
  <c r="H35" i="6"/>
  <c r="S24" i="6" s="1"/>
  <c r="H34" i="6"/>
  <c r="R24" i="6" s="1"/>
  <c r="H33" i="6"/>
  <c r="Q24" i="6" s="1"/>
  <c r="H32" i="6"/>
  <c r="P24" i="6" s="1"/>
  <c r="H31" i="6"/>
  <c r="O24" i="6" s="1"/>
  <c r="H30" i="6"/>
  <c r="N24" i="6" s="1"/>
  <c r="H29" i="6"/>
  <c r="M24" i="6" s="1"/>
  <c r="H28" i="6"/>
  <c r="L24" i="6" s="1"/>
  <c r="H27" i="6"/>
  <c r="K24" i="6" s="1"/>
  <c r="H26" i="6"/>
  <c r="J24" i="6" s="1"/>
  <c r="I21" i="6"/>
  <c r="Z4" i="6" s="1"/>
  <c r="H21" i="6"/>
  <c r="Z3" i="6" s="1"/>
  <c r="I20" i="6"/>
  <c r="Y4" i="6" s="1"/>
  <c r="H20" i="6"/>
  <c r="Y3" i="6" s="1"/>
  <c r="I19" i="6"/>
  <c r="X4" i="6" s="1"/>
  <c r="H19" i="6"/>
  <c r="X3" i="6" s="1"/>
  <c r="I18" i="6"/>
  <c r="W4" i="6" s="1"/>
  <c r="H18" i="6"/>
  <c r="W3" i="6" s="1"/>
  <c r="I17" i="6"/>
  <c r="V4" i="6" s="1"/>
  <c r="H17" i="6"/>
  <c r="V3" i="6" s="1"/>
  <c r="I16" i="6"/>
  <c r="U4" i="6" s="1"/>
  <c r="H16" i="6"/>
  <c r="U3" i="6" s="1"/>
  <c r="I15" i="6"/>
  <c r="T4" i="6" s="1"/>
  <c r="H15" i="6"/>
  <c r="T3" i="6" s="1"/>
  <c r="I14" i="6"/>
  <c r="S4" i="6" s="1"/>
  <c r="H14" i="6"/>
  <c r="S3" i="6" s="1"/>
  <c r="I13" i="6"/>
  <c r="R4" i="6" s="1"/>
  <c r="H13" i="6"/>
  <c r="R3" i="6" s="1"/>
  <c r="I12" i="6"/>
  <c r="Q4" i="6" s="1"/>
  <c r="H12" i="6"/>
  <c r="Q3" i="6" s="1"/>
  <c r="I11" i="6"/>
  <c r="P4" i="6" s="1"/>
  <c r="H11" i="6"/>
  <c r="P3" i="6" s="1"/>
  <c r="I10" i="6"/>
  <c r="O4" i="6" s="1"/>
  <c r="H10" i="6"/>
  <c r="O3" i="6" s="1"/>
  <c r="I9" i="6"/>
  <c r="N4" i="6" s="1"/>
  <c r="H9" i="6"/>
  <c r="N3" i="6" s="1"/>
  <c r="I8" i="6"/>
  <c r="M4" i="6" s="1"/>
  <c r="H8" i="6"/>
  <c r="M3" i="6" s="1"/>
  <c r="I7" i="6"/>
  <c r="L4" i="6" s="1"/>
  <c r="H7" i="6"/>
  <c r="L3" i="6" s="1"/>
  <c r="I6" i="6"/>
  <c r="K4" i="6" s="1"/>
  <c r="H6" i="6"/>
  <c r="K3" i="6" s="1"/>
  <c r="I5" i="6"/>
  <c r="J4" i="6" s="1"/>
  <c r="H5" i="6"/>
  <c r="J3" i="6" s="1"/>
  <c r="C4" i="4" l="1"/>
  <c r="F4" i="4" s="1"/>
  <c r="G3" i="4" s="1"/>
  <c r="C5" i="4"/>
  <c r="F5" i="4" s="1"/>
  <c r="H3" i="4" s="1"/>
  <c r="C6" i="4"/>
  <c r="F6" i="4" s="1"/>
  <c r="I3" i="4" s="1"/>
  <c r="C7" i="4"/>
  <c r="F7" i="4" s="1"/>
  <c r="J3" i="4" s="1"/>
  <c r="C8" i="4"/>
  <c r="F8" i="4" s="1"/>
  <c r="K3" i="4" s="1"/>
  <c r="C9" i="4"/>
  <c r="F9" i="4" s="1"/>
  <c r="L3" i="4" s="1"/>
  <c r="C10" i="4"/>
  <c r="F10" i="4" s="1"/>
  <c r="M3" i="4" s="1"/>
  <c r="C11" i="4"/>
  <c r="F11" i="4" s="1"/>
  <c r="N3" i="4" s="1"/>
  <c r="C12" i="4"/>
  <c r="F12" i="4" s="1"/>
  <c r="O3" i="4" s="1"/>
  <c r="C13" i="4"/>
  <c r="F13" i="4" s="1"/>
  <c r="P3" i="4" s="1"/>
  <c r="C14" i="4"/>
  <c r="F14" i="4" s="1"/>
  <c r="Q3" i="4" s="1"/>
  <c r="C15" i="4"/>
  <c r="F15" i="4" s="1"/>
  <c r="R3" i="4" s="1"/>
  <c r="C16" i="4"/>
  <c r="F16" i="4" s="1"/>
  <c r="S3" i="4" s="1"/>
  <c r="C17" i="4"/>
  <c r="F17" i="4" s="1"/>
  <c r="T3" i="4" s="1"/>
  <c r="C18" i="4"/>
  <c r="F18" i="4" s="1"/>
  <c r="U3" i="4" s="1"/>
  <c r="C19" i="4"/>
  <c r="F19" i="4" s="1"/>
  <c r="V3" i="4" s="1"/>
  <c r="C20" i="4"/>
  <c r="F20" i="4" s="1"/>
  <c r="W3" i="4" s="1"/>
  <c r="C21" i="4"/>
  <c r="F21" i="4" s="1"/>
  <c r="X3" i="4" s="1"/>
  <c r="C22" i="4"/>
  <c r="F22" i="4" s="1"/>
  <c r="Y3" i="4" s="1"/>
  <c r="C23" i="4"/>
  <c r="F23" i="4" s="1"/>
  <c r="Z3" i="4" s="1"/>
  <c r="C24" i="4"/>
  <c r="F24" i="4" s="1"/>
  <c r="AA3" i="4" s="1"/>
  <c r="C25" i="4"/>
  <c r="F25" i="4" s="1"/>
  <c r="AB3" i="4" s="1"/>
  <c r="C26" i="4"/>
  <c r="F26" i="4" s="1"/>
  <c r="AC3" i="4" s="1"/>
  <c r="C27" i="4"/>
  <c r="F27" i="4" s="1"/>
  <c r="AD3" i="4" s="1"/>
  <c r="C28" i="4"/>
  <c r="F28" i="4" s="1"/>
  <c r="AE3" i="4" s="1"/>
  <c r="C29" i="4"/>
  <c r="F29" i="4" s="1"/>
  <c r="AF3" i="4" s="1"/>
  <c r="C30" i="4"/>
  <c r="F30" i="4" s="1"/>
  <c r="AG3" i="4" s="1"/>
  <c r="C31" i="4"/>
  <c r="F31" i="4" s="1"/>
  <c r="AH3" i="4" s="1"/>
  <c r="C32" i="4"/>
  <c r="F32" i="4" s="1"/>
  <c r="AI3" i="4" s="1"/>
  <c r="C33" i="4"/>
  <c r="F33" i="4" s="1"/>
  <c r="AJ3" i="4" s="1"/>
  <c r="C34" i="4"/>
  <c r="F34" i="4" s="1"/>
  <c r="AK3" i="4" s="1"/>
  <c r="C35" i="4"/>
  <c r="F35" i="4" s="1"/>
  <c r="AL3" i="4" s="1"/>
  <c r="C36" i="4"/>
  <c r="F36" i="4" s="1"/>
  <c r="AM3" i="4" s="1"/>
  <c r="C37" i="4"/>
  <c r="F37" i="4" s="1"/>
  <c r="AN3" i="4" s="1"/>
  <c r="C38" i="4"/>
  <c r="F38" i="4" s="1"/>
  <c r="AO3" i="4" s="1"/>
  <c r="C39" i="4"/>
  <c r="F39" i="4" s="1"/>
  <c r="AP3" i="4" s="1"/>
  <c r="C40" i="4"/>
  <c r="F40" i="4" s="1"/>
  <c r="AQ3" i="4" s="1"/>
  <c r="C41" i="4"/>
  <c r="F41" i="4" s="1"/>
  <c r="AR3" i="4" s="1"/>
  <c r="C42" i="4"/>
  <c r="F42" i="4" s="1"/>
  <c r="AS3" i="4" s="1"/>
  <c r="C43" i="4"/>
  <c r="F43" i="4" s="1"/>
  <c r="AT3" i="4" s="1"/>
  <c r="C44" i="4"/>
  <c r="F44" i="4" s="1"/>
  <c r="AU3" i="4" s="1"/>
  <c r="C45" i="4"/>
  <c r="F45" i="4" s="1"/>
  <c r="AV3" i="4" s="1"/>
  <c r="C46" i="4"/>
  <c r="F46" i="4" s="1"/>
  <c r="AW3" i="4" s="1"/>
  <c r="C47" i="4"/>
  <c r="F47" i="4" s="1"/>
  <c r="AX3" i="4" s="1"/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3" i="1"/>
</calcChain>
</file>

<file path=xl/sharedStrings.xml><?xml version="1.0" encoding="utf-8"?>
<sst xmlns="http://schemas.openxmlformats.org/spreadsheetml/2006/main" count="58" uniqueCount="40">
  <si>
    <t>AWG</t>
  </si>
  <si>
    <t>Dia-mils</t>
  </si>
  <si>
    <t>TPI</t>
  </si>
  <si>
    <t>Dia-mm</t>
  </si>
  <si>
    <t>Circ-mils</t>
  </si>
  <si>
    <t>Ohms/Kft</t>
  </si>
  <si>
    <t>Ft/Ohm</t>
  </si>
  <si>
    <t>Ft/Lb</t>
  </si>
  <si>
    <t>Ohms/Lb</t>
  </si>
  <si>
    <t>Lb/Kft</t>
  </si>
  <si>
    <t>*Amps</t>
  </si>
  <si>
    <t>MaxAmps</t>
  </si>
  <si>
    <t>0000</t>
  </si>
  <si>
    <t>000</t>
  </si>
  <si>
    <t>00</t>
  </si>
  <si>
    <t>AWG = American Wire Gauge size from 0000 to 40</t>
  </si>
  <si>
    <t>Dia-mils = Diameter in mils (1 mil = .001 inch)</t>
  </si>
  <si>
    <t>TPI = Turns Per Inch [Note that this is for BARE WIRE. Insulation thickness varies]</t>
  </si>
  <si>
    <t>Dia-mm = Diameter in millimeters. This was included to help when dealing with metric Coilers.</t>
  </si>
  <si>
    <t>Circ-mils = Cross sectional Area in Circular Mils. ( circular mils = diameter in mils squared )</t>
  </si>
  <si>
    <t>Ohms/Kft = Ohms Per 1,000 ft.</t>
  </si>
  <si>
    <t>Ft/Ohm = Number of feet required for 1 Ohm of resistance</t>
  </si>
  <si>
    <t>Ft/Lb = Feet Per Pound</t>
  </si>
  <si>
    <t>Ohms/Lb = Ohms Per Pound</t>
  </si>
  <si>
    <t>Lb/Kft = Pounds Per 1,000 feet</t>
  </si>
  <si>
    <t>*AMPS = Conservative Amp Rating based on 750 circulare mils per Amp</t>
  </si>
  <si>
    <t>MaxAmps = Maximum allowable current based on 500 circular mils per Amp. Do NOT exceed this rating.</t>
  </si>
  <si>
    <t>Area-mm^2</t>
  </si>
  <si>
    <t>Dia [mm]</t>
  </si>
  <si>
    <t>Conductor Current Capacity Matrix without Derating</t>
  </si>
  <si>
    <t>[A]</t>
  </si>
  <si>
    <t>0</t>
  </si>
  <si>
    <t>Copper Wire TFE Insulated Current Carrying [A]</t>
  </si>
  <si>
    <t>AS50881D  Current Carrying [A]</t>
  </si>
  <si>
    <t>Wire Temperature Rating °C</t>
  </si>
  <si>
    <t>Conductor Area Matrix [Col/Row] Ratio</t>
  </si>
  <si>
    <r>
      <t>Area [mm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</si>
  <si>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105 °C</t>
  </si>
  <si>
    <t>150 °C</t>
  </si>
  <si>
    <t>200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</si>
</sst>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"/>
    <numFmt numFmtId="166" formatCode="0.000"/>
    <numFmt numFmtId="167" formatCode="\A"/>
    <numFmt numFmtId="168" formatCode="&quot;Area&quot;"/>
    <numFmt numFmtId="169" formatCode="0&quot; °C&quot;"/>
    <numFmt numFmtId="170" formatCode="#&quot; °C&quot;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quotePrefix="1" applyFont="1" applyAlignment="1">
      <alignment horizontal="right" vertical="center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164" fontId="0" fillId="3" borderId="0" xfId="0" applyNumberFormat="1" applyFill="1"/>
    <xf numFmtId="166" fontId="0" fillId="0" borderId="0" xfId="0" applyNumberFormat="1"/>
    <xf numFmtId="166" fontId="0" fillId="3" borderId="0" xfId="0" applyNumberFormat="1" applyFill="1"/>
    <xf numFmtId="2" fontId="0" fillId="0" borderId="0" xfId="0" applyNumberFormat="1"/>
    <xf numFmtId="0" fontId="0" fillId="3" borderId="0" xfId="0" applyFill="1"/>
    <xf numFmtId="165" fontId="6" fillId="0" borderId="4" xfId="0" applyNumberFormat="1" applyFont="1" applyBorder="1"/>
    <xf numFmtId="165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165" fontId="6" fillId="0" borderId="0" xfId="0" applyNumberFormat="1" applyFont="1"/>
    <xf numFmtId="2" fontId="0" fillId="4" borderId="0" xfId="0" applyNumberFormat="1" applyFill="1"/>
    <xf numFmtId="0" fontId="7" fillId="0" borderId="0" xfId="0" applyFont="1"/>
    <xf numFmtId="165" fontId="7" fillId="0" borderId="0" xfId="0" applyNumberFormat="1" applyFont="1"/>
    <xf numFmtId="165" fontId="7" fillId="0" borderId="9" xfId="0" applyNumberFormat="1" applyFont="1" applyBorder="1"/>
    <xf numFmtId="165" fontId="7" fillId="0" borderId="6" xfId="0" applyNumberFormat="1" applyFont="1" applyBorder="1"/>
    <xf numFmtId="165" fontId="7" fillId="0" borderId="7" xfId="0" applyNumberFormat="1" applyFont="1" applyBorder="1"/>
    <xf numFmtId="165" fontId="7" fillId="0" borderId="10" xfId="0" applyNumberFormat="1" applyFont="1" applyBorder="1"/>
    <xf numFmtId="0" fontId="3" fillId="0" borderId="8" xfId="0" applyFont="1" applyBorder="1" applyAlignment="1">
      <alignment horizontal="center" vertical="center"/>
    </xf>
    <xf numFmtId="0" fontId="8" fillId="0" borderId="0" xfId="0" quotePrefix="1" applyFont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7" xfId="0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165" fontId="0" fillId="2" borderId="0" xfId="0" applyNumberFormat="1" applyFill="1"/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7" fillId="2" borderId="0" xfId="0" applyNumberFormat="1" applyFont="1" applyFill="1"/>
    <xf numFmtId="165" fontId="6" fillId="2" borderId="0" xfId="0" applyNumberFormat="1" applyFont="1" applyFill="1"/>
    <xf numFmtId="0" fontId="1" fillId="0" borderId="3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5" fontId="0" fillId="0" borderId="19" xfId="0" applyNumberFormat="1" applyBorder="1"/>
    <xf numFmtId="165" fontId="0" fillId="2" borderId="22" xfId="0" applyNumberFormat="1" applyFill="1" applyBorder="1"/>
    <xf numFmtId="165" fontId="0" fillId="0" borderId="22" xfId="0" applyNumberFormat="1" applyBorder="1"/>
    <xf numFmtId="165" fontId="0" fillId="0" borderId="20" xfId="0" applyNumberFormat="1" applyBorder="1"/>
    <xf numFmtId="167" fontId="8" fillId="6" borderId="0" xfId="0" applyNumberFormat="1" applyFont="1" applyFill="1" applyAlignment="1">
      <alignment horizontal="center"/>
    </xf>
    <xf numFmtId="165" fontId="7" fillId="6" borderId="0" xfId="0" applyNumberFormat="1" applyFont="1" applyFill="1"/>
    <xf numFmtId="1" fontId="7" fillId="6" borderId="0" xfId="0" applyNumberFormat="1" applyFont="1" applyFill="1"/>
    <xf numFmtId="1" fontId="7" fillId="6" borderId="6" xfId="0" applyNumberFormat="1" applyFont="1" applyFill="1" applyBorder="1"/>
    <xf numFmtId="1" fontId="0" fillId="6" borderId="0" xfId="0" applyNumberFormat="1" applyFill="1"/>
    <xf numFmtId="165" fontId="7" fillId="6" borderId="6" xfId="0" applyNumberFormat="1" applyFont="1" applyFill="1" applyBorder="1"/>
    <xf numFmtId="165" fontId="7" fillId="6" borderId="9" xfId="0" applyNumberFormat="1" applyFont="1" applyFill="1" applyBorder="1"/>
    <xf numFmtId="168" fontId="1" fillId="6" borderId="26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/>
    <xf numFmtId="2" fontId="0" fillId="6" borderId="29" xfId="0" applyNumberFormat="1" applyFill="1" applyBorder="1"/>
    <xf numFmtId="2" fontId="0" fillId="6" borderId="30" xfId="0" applyNumberFormat="1" applyFill="1" applyBorder="1"/>
    <xf numFmtId="2" fontId="0" fillId="6" borderId="31" xfId="0" applyNumberFormat="1" applyFill="1" applyBorder="1"/>
    <xf numFmtId="2" fontId="0" fillId="6" borderId="2" xfId="0" applyNumberFormat="1" applyFill="1" applyBorder="1"/>
    <xf numFmtId="2" fontId="0" fillId="6" borderId="3" xfId="0" applyNumberFormat="1" applyFill="1" applyBorder="1"/>
    <xf numFmtId="2" fontId="1" fillId="6" borderId="3" xfId="0" applyNumberFormat="1" applyFont="1" applyFill="1" applyBorder="1" applyAlignment="1">
      <alignment horizontal="center" vertical="center"/>
    </xf>
    <xf numFmtId="168" fontId="1" fillId="6" borderId="18" xfId="0" applyNumberFormat="1" applyFont="1" applyFill="1" applyBorder="1" applyAlignment="1">
      <alignment horizontal="center" vertical="center"/>
    </xf>
    <xf numFmtId="2" fontId="0" fillId="7" borderId="24" xfId="0" applyNumberFormat="1" applyFill="1" applyBorder="1"/>
    <xf numFmtId="2" fontId="0" fillId="6" borderId="23" xfId="0" applyNumberFormat="1" applyFill="1" applyBorder="1"/>
    <xf numFmtId="2" fontId="0" fillId="7" borderId="23" xfId="0" applyNumberFormat="1" applyFill="1" applyBorder="1"/>
    <xf numFmtId="2" fontId="0" fillId="6" borderId="25" xfId="0" applyNumberFormat="1" applyFill="1" applyBorder="1"/>
    <xf numFmtId="170" fontId="6" fillId="0" borderId="3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37">
    <dxf>
      <fill>
        <patternFill>
          <bgColor rgb="FFFFAFAF"/>
        </patternFill>
      </fill>
    </dxf>
    <dxf>
      <fill>
        <patternFill>
          <bgColor rgb="FFFFFF9F"/>
        </patternFill>
      </fill>
    </dxf>
    <dxf>
      <fill>
        <patternFill>
          <bgColor rgb="FF8FFF8F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/>
        </patternFill>
      </fill>
    </dxf>
    <dxf>
      <fill>
        <patternFill>
          <bgColor rgb="FFFFAFAF"/>
        </patternFill>
      </fill>
    </dxf>
    <dxf>
      <fill>
        <patternFill>
          <bgColor rgb="FFFFFF9F"/>
        </patternFill>
      </fill>
    </dxf>
    <dxf>
      <fill>
        <patternFill>
          <bgColor rgb="FF8FFF8F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/>
        </patternFill>
      </fill>
    </dxf>
    <dxf>
      <fill>
        <patternFill>
          <bgColor rgb="FFFFAFAF"/>
        </patternFill>
      </fill>
    </dxf>
    <dxf>
      <fill>
        <patternFill>
          <bgColor rgb="FFFFFF9F"/>
        </patternFill>
      </fill>
    </dxf>
    <dxf>
      <fill>
        <patternFill>
          <bgColor rgb="FF8FFF8F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/>
        </patternFill>
      </fill>
    </dxf>
    <dxf>
      <numFmt numFmtId="2" formatCode="0.00"/>
    </dxf>
    <dxf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8FFF8F"/>
      <color rgb="FFFFFF9F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W_TFE_Table" displayName="CW_TFE_Table" ref="B4:C21" totalsRowShown="0" headerRowDxfId="36" dataDxfId="34" headerRowBorderDxfId="35" tableBorderDxfId="33" totalsRowBorderDxfId="32">
  <tableColumns count="2">
    <tableColumn id="1" xr3:uid="{00000000-0010-0000-0000-000001000000}" name="AWG" dataDxfId="31"/>
    <tableColumn id="2" xr3:uid="{00000000-0010-0000-0000-000002000000}" name="[A]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AS50881D_Table" displayName="AS50881D_Table" ref="B25:E43" totalsRowShown="0" headerRowDxfId="29" headerRowBorderDxfId="28" tableBorderDxfId="27" totalsRowBorderDxfId="26">
  <tableColumns count="4">
    <tableColumn id="1" xr3:uid="{00000000-0010-0000-0100-000001000000}" name="AWG" dataDxfId="25"/>
    <tableColumn id="2" xr3:uid="{00000000-0010-0000-0100-000002000000}" name="105 °C" dataDxfId="24"/>
    <tableColumn id="3" xr3:uid="{00000000-0010-0000-0100-000003000000}" name="150 °C"/>
    <tableColumn id="4" xr3:uid="{00000000-0010-0000-0100-000004000000}" name="200 °C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ond_Dia_Area" displayName="Cond_Dia_Area" ref="A3:C47" totalsRowShown="0">
  <autoFilter ref="A3:C47" xr:uid="{00000000-0009-0000-0100-000001000000}"/>
  <tableColumns count="3">
    <tableColumn id="1" xr3:uid="{00000000-0010-0000-0200-000001000000}" name="AWG" dataDxfId="23"/>
    <tableColumn id="2" xr3:uid="{00000000-0010-0000-0200-000002000000}" name="Dia [mm]" dataDxfId="22"/>
    <tableColumn id="3" xr3:uid="{00000000-0010-0000-0200-000003000000}" name="Area [mm²]" dataDxfId="21">
      <calculatedColumnFormula>+PI()*(Cond_Dia_Area[[#This Row],[Dia '[mm']]]/2)^2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52"/>
  <sheetViews>
    <sheetView tabSelected="1" topLeftCell="A3" zoomScaleNormal="100" workbookViewId="0">
      <selection activeCell="E36" sqref="E36"/>
    </sheetView>
  </sheetViews>
  <sheetFormatPr defaultRowHeight="14.4"/>
  <cols>
    <col min="2" max="5" width="11.6640625" customWidth="1"/>
    <col min="8" max="26" width="5.88671875" customWidth="1"/>
    <col min="27" max="27" width="4.5546875" bestFit="1" customWidth="1"/>
  </cols>
  <sheetData>
    <row r="1" spans="2:26" ht="15" thickBot="1"/>
    <row r="2" spans="2:26" ht="15" thickBot="1">
      <c r="B2" s="89" t="s">
        <v>32</v>
      </c>
      <c r="C2" s="89"/>
      <c r="H2" s="82" t="s">
        <v>29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4"/>
    </row>
    <row r="3" spans="2:26" ht="15" customHeight="1">
      <c r="B3" s="89"/>
      <c r="C3" s="89"/>
      <c r="H3" s="6" t="s">
        <v>0</v>
      </c>
      <c r="I3" s="59">
        <v>1</v>
      </c>
      <c r="J3" s="27" t="str">
        <f>+H5</f>
        <v>00</v>
      </c>
      <c r="K3" s="16">
        <f>+H6</f>
        <v>0</v>
      </c>
      <c r="L3" s="16">
        <f>+H7</f>
        <v>2</v>
      </c>
      <c r="M3" s="28">
        <f>+H8</f>
        <v>4</v>
      </c>
      <c r="N3" s="16">
        <f>+H9</f>
        <v>6</v>
      </c>
      <c r="O3" s="28">
        <f>+H10</f>
        <v>8</v>
      </c>
      <c r="P3" s="16">
        <f>+H11</f>
        <v>10</v>
      </c>
      <c r="Q3" s="28">
        <f>+H12</f>
        <v>12</v>
      </c>
      <c r="R3" s="16">
        <f>+H13</f>
        <v>14</v>
      </c>
      <c r="S3" s="28">
        <f>+H14</f>
        <v>16</v>
      </c>
      <c r="T3" s="16">
        <f>+H15</f>
        <v>18</v>
      </c>
      <c r="U3" s="16">
        <f>+H16</f>
        <v>20</v>
      </c>
      <c r="V3" s="28">
        <f>+H17</f>
        <v>22</v>
      </c>
      <c r="W3" s="16">
        <f>+H18</f>
        <v>24</v>
      </c>
      <c r="X3" s="16">
        <f>+H19</f>
        <v>26</v>
      </c>
      <c r="Y3" s="16">
        <f>+H20</f>
        <v>28</v>
      </c>
      <c r="Z3" s="16">
        <f>+H21</f>
        <v>30</v>
      </c>
    </row>
    <row r="4" spans="2:26">
      <c r="B4" s="30" t="s">
        <v>0</v>
      </c>
      <c r="C4" s="31" t="s">
        <v>30</v>
      </c>
      <c r="H4" s="59">
        <v>1</v>
      </c>
      <c r="I4" s="60">
        <f>+IF(H4/I3&gt;=1,H4/I3,"")</f>
        <v>1</v>
      </c>
      <c r="J4" s="60">
        <f>+I5</f>
        <v>169</v>
      </c>
      <c r="K4" s="60">
        <f>+I6</f>
        <v>147</v>
      </c>
      <c r="L4" s="60">
        <f>+I7</f>
        <v>108</v>
      </c>
      <c r="M4" s="64">
        <f>+I8</f>
        <v>81</v>
      </c>
      <c r="N4" s="60">
        <f>+I9</f>
        <v>60</v>
      </c>
      <c r="O4" s="64">
        <f>+I10</f>
        <v>44</v>
      </c>
      <c r="P4" s="60">
        <f>+I11</f>
        <v>33</v>
      </c>
      <c r="Q4" s="64">
        <f>+I12</f>
        <v>25</v>
      </c>
      <c r="R4" s="60">
        <f>+I13</f>
        <v>19</v>
      </c>
      <c r="S4" s="64">
        <f>+I14</f>
        <v>13</v>
      </c>
      <c r="T4" s="60">
        <f>+I15</f>
        <v>9.1999999999999993</v>
      </c>
      <c r="U4" s="60">
        <f>+I16</f>
        <v>6.5</v>
      </c>
      <c r="V4" s="64">
        <f>+I17</f>
        <v>4.5</v>
      </c>
      <c r="W4" s="60">
        <f>+I18</f>
        <v>3.3</v>
      </c>
      <c r="X4" s="60">
        <f>+I19</f>
        <v>2.5</v>
      </c>
      <c r="Y4" s="60">
        <f>+I20</f>
        <v>1.8</v>
      </c>
      <c r="Z4" s="60">
        <f>+I21</f>
        <v>1.3</v>
      </c>
    </row>
    <row r="5" spans="2:26">
      <c r="B5" s="32" t="s">
        <v>14</v>
      </c>
      <c r="C5" s="33">
        <v>169</v>
      </c>
      <c r="H5" s="5" t="str">
        <f>+CW_TFE_Table[[#This Row],[AWG]]</f>
        <v>00</v>
      </c>
      <c r="I5" s="60">
        <f>+CW_TFE_Table[[#This Row],['[A']]]</f>
        <v>169</v>
      </c>
      <c r="J5" s="21">
        <f t="dataTable" ref="J5:Z21" dt2D="1" dtr="1" r1="H4" r2="I3"/>
        <v>1</v>
      </c>
      <c r="K5" s="21" t="str">
        <v/>
      </c>
      <c r="L5" s="21" t="str">
        <v/>
      </c>
      <c r="M5" s="23" t="str">
        <v/>
      </c>
      <c r="N5" s="21" t="str">
        <v/>
      </c>
      <c r="O5" s="23" t="str">
        <v/>
      </c>
      <c r="P5" s="21" t="str">
        <v/>
      </c>
      <c r="Q5" s="23" t="str">
        <v/>
      </c>
      <c r="R5" s="21" t="str">
        <v/>
      </c>
      <c r="S5" s="23" t="str">
        <v/>
      </c>
      <c r="T5" s="21" t="str">
        <v/>
      </c>
      <c r="U5" s="21" t="str">
        <v/>
      </c>
      <c r="V5" s="23" t="str">
        <v/>
      </c>
      <c r="W5" s="21" t="str">
        <v/>
      </c>
      <c r="X5" s="21" t="str">
        <v/>
      </c>
      <c r="Y5" s="21" t="str">
        <v/>
      </c>
      <c r="Z5" s="21" t="str">
        <v/>
      </c>
    </row>
    <row r="6" spans="2:26">
      <c r="B6" s="34">
        <v>0</v>
      </c>
      <c r="C6" s="33">
        <v>147</v>
      </c>
      <c r="H6" s="5">
        <f>+CW_TFE_Table[[#This Row],[AWG]]</f>
        <v>0</v>
      </c>
      <c r="I6" s="60">
        <f>+CW_TFE_Table[[#This Row],['[A']]]</f>
        <v>147</v>
      </c>
      <c r="J6" s="21">
        <v>1.1496598639455782</v>
      </c>
      <c r="K6" s="21">
        <v>1</v>
      </c>
      <c r="L6" s="21" t="str">
        <v/>
      </c>
      <c r="M6" s="23" t="str">
        <v/>
      </c>
      <c r="N6" s="21" t="str">
        <v/>
      </c>
      <c r="O6" s="23" t="str">
        <v/>
      </c>
      <c r="P6" s="21" t="str">
        <v/>
      </c>
      <c r="Q6" s="23" t="str">
        <v/>
      </c>
      <c r="R6" s="21" t="str">
        <v/>
      </c>
      <c r="S6" s="23" t="str">
        <v/>
      </c>
      <c r="T6" s="21" t="str">
        <v/>
      </c>
      <c r="U6" s="21" t="str">
        <v/>
      </c>
      <c r="V6" s="23" t="str">
        <v/>
      </c>
      <c r="W6" s="21" t="str">
        <v/>
      </c>
      <c r="X6" s="21" t="str">
        <v/>
      </c>
      <c r="Y6" s="21" t="str">
        <v/>
      </c>
      <c r="Z6" s="21" t="str">
        <v/>
      </c>
    </row>
    <row r="7" spans="2:26" ht="15" thickBot="1">
      <c r="B7" s="34">
        <v>2</v>
      </c>
      <c r="C7" s="33">
        <v>108</v>
      </c>
      <c r="H7" s="5">
        <f>+CW_TFE_Table[[#This Row],[AWG]]</f>
        <v>2</v>
      </c>
      <c r="I7" s="60">
        <f>+CW_TFE_Table[[#This Row],['[A']]]</f>
        <v>108</v>
      </c>
      <c r="J7" s="21">
        <v>1.5648148148148149</v>
      </c>
      <c r="K7" s="21">
        <v>1.3611111111111112</v>
      </c>
      <c r="L7" s="21">
        <v>1</v>
      </c>
      <c r="M7" s="23" t="str">
        <v/>
      </c>
      <c r="N7" s="21" t="str">
        <v/>
      </c>
      <c r="O7" s="23" t="str">
        <v/>
      </c>
      <c r="P7" s="21" t="str">
        <v/>
      </c>
      <c r="Q7" s="23" t="str">
        <v/>
      </c>
      <c r="R7" s="21" t="str">
        <v/>
      </c>
      <c r="S7" s="23" t="str">
        <v/>
      </c>
      <c r="T7" s="21" t="str">
        <v/>
      </c>
      <c r="U7" s="21" t="str">
        <v/>
      </c>
      <c r="V7" s="23" t="str">
        <v/>
      </c>
      <c r="W7" s="21" t="str">
        <v/>
      </c>
      <c r="X7" s="21" t="str">
        <v/>
      </c>
      <c r="Y7" s="21" t="str">
        <v/>
      </c>
      <c r="Z7" s="21" t="str">
        <v/>
      </c>
    </row>
    <row r="8" spans="2:26" ht="15" thickBot="1">
      <c r="B8" s="34">
        <v>4</v>
      </c>
      <c r="C8" s="33">
        <v>81</v>
      </c>
      <c r="H8" s="26">
        <f>+CW_TFE_Table[[#This Row],[AWG]]</f>
        <v>4</v>
      </c>
      <c r="I8" s="65">
        <f>+CW_TFE_Table[[#This Row],['[A']]]</f>
        <v>81</v>
      </c>
      <c r="J8" s="22">
        <v>2.0864197530864197</v>
      </c>
      <c r="K8" s="22">
        <v>1.8148148148148149</v>
      </c>
      <c r="L8" s="25">
        <v>1.3333333333333333</v>
      </c>
      <c r="M8" s="23">
        <v>1</v>
      </c>
      <c r="N8" s="21" t="str">
        <v/>
      </c>
      <c r="O8" s="23" t="str">
        <v/>
      </c>
      <c r="P8" s="21" t="str">
        <v/>
      </c>
      <c r="Q8" s="23" t="str">
        <v/>
      </c>
      <c r="R8" s="21" t="str">
        <v/>
      </c>
      <c r="S8" s="23" t="str">
        <v/>
      </c>
      <c r="T8" s="21" t="str">
        <v/>
      </c>
      <c r="U8" s="21" t="str">
        <v/>
      </c>
      <c r="V8" s="23" t="str">
        <v/>
      </c>
      <c r="W8" s="21" t="str">
        <v/>
      </c>
      <c r="X8" s="21" t="str">
        <v/>
      </c>
      <c r="Y8" s="21" t="str">
        <v/>
      </c>
      <c r="Z8" s="21" t="str">
        <v/>
      </c>
    </row>
    <row r="9" spans="2:26" ht="15" thickBot="1">
      <c r="B9" s="34">
        <v>6</v>
      </c>
      <c r="C9" s="33">
        <v>60</v>
      </c>
      <c r="H9" s="5">
        <f>+CW_TFE_Table[[#This Row],[AWG]]</f>
        <v>6</v>
      </c>
      <c r="I9" s="60">
        <f>+CW_TFE_Table[[#This Row],['[A']]]</f>
        <v>60</v>
      </c>
      <c r="J9" s="21">
        <v>2.8166666666666669</v>
      </c>
      <c r="K9" s="21">
        <v>2.4500000000000002</v>
      </c>
      <c r="L9" s="21">
        <v>1.8</v>
      </c>
      <c r="M9" s="23">
        <v>1.35</v>
      </c>
      <c r="N9" s="21">
        <v>1</v>
      </c>
      <c r="O9" s="23" t="str">
        <v/>
      </c>
      <c r="P9" s="21" t="str">
        <v/>
      </c>
      <c r="Q9" s="23" t="str">
        <v/>
      </c>
      <c r="R9" s="21" t="str">
        <v/>
      </c>
      <c r="S9" s="23" t="str">
        <v/>
      </c>
      <c r="T9" s="21" t="str">
        <v/>
      </c>
      <c r="U9" s="21" t="str">
        <v/>
      </c>
      <c r="V9" s="23" t="str">
        <v/>
      </c>
      <c r="W9" s="21" t="str">
        <v/>
      </c>
      <c r="X9" s="21" t="str">
        <v/>
      </c>
      <c r="Y9" s="21" t="str">
        <v/>
      </c>
      <c r="Z9" s="21" t="str">
        <v/>
      </c>
    </row>
    <row r="10" spans="2:26" ht="15" thickBot="1">
      <c r="B10" s="34">
        <v>8</v>
      </c>
      <c r="C10" s="33">
        <v>44</v>
      </c>
      <c r="H10" s="26">
        <f>+CW_TFE_Table[[#This Row],[AWG]]</f>
        <v>8</v>
      </c>
      <c r="I10" s="65">
        <f>+CW_TFE_Table[[#This Row],['[A']]]</f>
        <v>44</v>
      </c>
      <c r="J10" s="22">
        <v>3.8409090909090908</v>
      </c>
      <c r="K10" s="22">
        <v>3.3409090909090908</v>
      </c>
      <c r="L10" s="22">
        <v>2.4545454545454546</v>
      </c>
      <c r="M10" s="13">
        <v>1.8409090909090908</v>
      </c>
      <c r="N10" s="25">
        <v>1.3636363636363635</v>
      </c>
      <c r="O10" s="23">
        <v>1</v>
      </c>
      <c r="P10" s="21" t="str">
        <v/>
      </c>
      <c r="Q10" s="23" t="str">
        <v/>
      </c>
      <c r="R10" s="21" t="str">
        <v/>
      </c>
      <c r="S10" s="23" t="str">
        <v/>
      </c>
      <c r="T10" s="21" t="str">
        <v/>
      </c>
      <c r="U10" s="21" t="str">
        <v/>
      </c>
      <c r="V10" s="23" t="str">
        <v/>
      </c>
      <c r="W10" s="21" t="str">
        <v/>
      </c>
      <c r="X10" s="21" t="str">
        <v/>
      </c>
      <c r="Y10" s="21" t="str">
        <v/>
      </c>
      <c r="Z10" s="21" t="str">
        <v/>
      </c>
    </row>
    <row r="11" spans="2:26" ht="15" thickBot="1">
      <c r="B11" s="34">
        <v>10</v>
      </c>
      <c r="C11" s="33">
        <v>33</v>
      </c>
      <c r="H11" s="5">
        <f>+CW_TFE_Table[[#This Row],[AWG]]</f>
        <v>10</v>
      </c>
      <c r="I11" s="60">
        <f>+CW_TFE_Table[[#This Row],['[A']]]</f>
        <v>33</v>
      </c>
      <c r="J11" s="21">
        <v>5.1212121212121211</v>
      </c>
      <c r="K11" s="21">
        <v>4.4545454545454541</v>
      </c>
      <c r="L11" s="21">
        <v>3.2727272727272729</v>
      </c>
      <c r="M11" s="23">
        <v>2.4545454545454546</v>
      </c>
      <c r="N11" s="21">
        <v>1.8181818181818181</v>
      </c>
      <c r="O11" s="23">
        <v>1.3333333333333333</v>
      </c>
      <c r="P11" s="21">
        <v>1</v>
      </c>
      <c r="Q11" s="23" t="str">
        <v/>
      </c>
      <c r="R11" s="21" t="str">
        <v/>
      </c>
      <c r="S11" s="23" t="str">
        <v/>
      </c>
      <c r="T11" s="21" t="str">
        <v/>
      </c>
      <c r="U11" s="21" t="str">
        <v/>
      </c>
      <c r="V11" s="23" t="str">
        <v/>
      </c>
      <c r="W11" s="21" t="str">
        <v/>
      </c>
      <c r="X11" s="21" t="str">
        <v/>
      </c>
      <c r="Y11" s="21" t="str">
        <v/>
      </c>
      <c r="Z11" s="21" t="str">
        <v/>
      </c>
    </row>
    <row r="12" spans="2:26" ht="15" thickBot="1">
      <c r="B12" s="34">
        <v>12</v>
      </c>
      <c r="C12" s="33">
        <v>25</v>
      </c>
      <c r="H12" s="26">
        <f>+CW_TFE_Table[[#This Row],[AWG]]</f>
        <v>12</v>
      </c>
      <c r="I12" s="65">
        <f>+CW_TFE_Table[[#This Row],['[A']]]</f>
        <v>25</v>
      </c>
      <c r="J12" s="22">
        <v>6.76</v>
      </c>
      <c r="K12" s="22">
        <v>5.88</v>
      </c>
      <c r="L12" s="22">
        <v>4.32</v>
      </c>
      <c r="M12" s="13">
        <v>3.24</v>
      </c>
      <c r="N12" s="22">
        <v>2.4</v>
      </c>
      <c r="O12" s="13">
        <v>1.76</v>
      </c>
      <c r="P12" s="25">
        <v>1.32</v>
      </c>
      <c r="Q12" s="23">
        <v>1</v>
      </c>
      <c r="R12" s="21" t="str">
        <v/>
      </c>
      <c r="S12" s="23" t="str">
        <v/>
      </c>
      <c r="T12" s="21" t="str">
        <v/>
      </c>
      <c r="U12" s="21" t="str">
        <v/>
      </c>
      <c r="V12" s="23" t="str">
        <v/>
      </c>
      <c r="W12" s="21" t="str">
        <v/>
      </c>
      <c r="X12" s="21" t="str">
        <v/>
      </c>
      <c r="Y12" s="21" t="str">
        <v/>
      </c>
      <c r="Z12" s="21" t="str">
        <v/>
      </c>
    </row>
    <row r="13" spans="2:26" ht="15" thickBot="1">
      <c r="B13" s="34">
        <v>14</v>
      </c>
      <c r="C13" s="33">
        <v>19</v>
      </c>
      <c r="H13" s="5">
        <f>+CW_TFE_Table[[#This Row],[AWG]]</f>
        <v>14</v>
      </c>
      <c r="I13" s="60">
        <f>+CW_TFE_Table[[#This Row],['[A']]]</f>
        <v>19</v>
      </c>
      <c r="J13" s="21">
        <v>8.8947368421052637</v>
      </c>
      <c r="K13" s="21">
        <v>7.7368421052631575</v>
      </c>
      <c r="L13" s="21">
        <v>5.6842105263157894</v>
      </c>
      <c r="M13" s="23">
        <v>4.2631578947368425</v>
      </c>
      <c r="N13" s="21">
        <v>3.1578947368421053</v>
      </c>
      <c r="O13" s="23">
        <v>2.3157894736842106</v>
      </c>
      <c r="P13" s="21">
        <v>1.736842105263158</v>
      </c>
      <c r="Q13" s="23">
        <v>1.3157894736842106</v>
      </c>
      <c r="R13" s="21">
        <v>1</v>
      </c>
      <c r="S13" s="23" t="str">
        <v/>
      </c>
      <c r="T13" s="21" t="str">
        <v/>
      </c>
      <c r="U13" s="21" t="str">
        <v/>
      </c>
      <c r="V13" s="23" t="str">
        <v/>
      </c>
      <c r="W13" s="21" t="str">
        <v/>
      </c>
      <c r="X13" s="21" t="str">
        <v/>
      </c>
      <c r="Y13" s="21" t="str">
        <v/>
      </c>
      <c r="Z13" s="21" t="str">
        <v/>
      </c>
    </row>
    <row r="14" spans="2:26" ht="15" thickBot="1">
      <c r="B14" s="34">
        <v>16</v>
      </c>
      <c r="C14" s="33">
        <v>13</v>
      </c>
      <c r="H14" s="26">
        <f>+CW_TFE_Table[[#This Row],[AWG]]</f>
        <v>16</v>
      </c>
      <c r="I14" s="65">
        <f>+CW_TFE_Table[[#This Row],['[A']]]</f>
        <v>13</v>
      </c>
      <c r="J14" s="22">
        <v>13</v>
      </c>
      <c r="K14" s="22">
        <v>11.307692307692308</v>
      </c>
      <c r="L14" s="22">
        <v>8.3076923076923084</v>
      </c>
      <c r="M14" s="13">
        <v>6.2307692307692308</v>
      </c>
      <c r="N14" s="22">
        <v>4.615384615384615</v>
      </c>
      <c r="O14" s="13">
        <v>3.3846153846153846</v>
      </c>
      <c r="P14" s="22">
        <v>2.5384615384615383</v>
      </c>
      <c r="Q14" s="13">
        <v>1.9230769230769231</v>
      </c>
      <c r="R14" s="25">
        <v>1.4615384615384615</v>
      </c>
      <c r="S14" s="23">
        <v>1</v>
      </c>
      <c r="T14" s="21" t="str">
        <v/>
      </c>
      <c r="U14" s="21" t="str">
        <v/>
      </c>
      <c r="V14" s="23" t="str">
        <v/>
      </c>
      <c r="W14" s="21" t="str">
        <v/>
      </c>
      <c r="X14" s="21" t="str">
        <v/>
      </c>
      <c r="Y14" s="21" t="str">
        <v/>
      </c>
      <c r="Z14" s="21" t="str">
        <v/>
      </c>
    </row>
    <row r="15" spans="2:26">
      <c r="B15" s="34">
        <v>18</v>
      </c>
      <c r="C15" s="33">
        <v>9.1999999999999993</v>
      </c>
      <c r="H15" s="5">
        <f>+CW_TFE_Table[[#This Row],[AWG]]</f>
        <v>18</v>
      </c>
      <c r="I15" s="60">
        <f>+CW_TFE_Table[[#This Row],['[A']]]</f>
        <v>9.1999999999999993</v>
      </c>
      <c r="J15" s="21">
        <v>18.369565217391305</v>
      </c>
      <c r="K15" s="21">
        <v>15.978260869565219</v>
      </c>
      <c r="L15" s="21">
        <v>11.739130434782609</v>
      </c>
      <c r="M15" s="23">
        <v>8.804347826086957</v>
      </c>
      <c r="N15" s="21">
        <v>6.5217391304347831</v>
      </c>
      <c r="O15" s="23">
        <v>4.7826086956521747</v>
      </c>
      <c r="P15" s="21">
        <v>3.5869565217391308</v>
      </c>
      <c r="Q15" s="23">
        <v>2.7173913043478262</v>
      </c>
      <c r="R15" s="21">
        <v>2.0652173913043481</v>
      </c>
      <c r="S15" s="23">
        <v>1.4130434782608696</v>
      </c>
      <c r="T15" s="21">
        <v>1</v>
      </c>
      <c r="U15" s="21" t="str">
        <v/>
      </c>
      <c r="V15" s="23" t="str">
        <v/>
      </c>
      <c r="W15" s="21" t="str">
        <v/>
      </c>
      <c r="X15" s="21" t="str">
        <v/>
      </c>
      <c r="Y15" s="21" t="str">
        <v/>
      </c>
      <c r="Z15" s="21" t="str">
        <v/>
      </c>
    </row>
    <row r="16" spans="2:26" ht="15" thickBot="1">
      <c r="B16" s="34">
        <v>20</v>
      </c>
      <c r="C16" s="33">
        <v>6.5</v>
      </c>
      <c r="H16" s="5">
        <f>+CW_TFE_Table[[#This Row],[AWG]]</f>
        <v>20</v>
      </c>
      <c r="I16" s="60">
        <f>+CW_TFE_Table[[#This Row],['[A']]]</f>
        <v>6.5</v>
      </c>
      <c r="J16" s="21">
        <v>26</v>
      </c>
      <c r="K16" s="21">
        <v>22.615384615384617</v>
      </c>
      <c r="L16" s="21">
        <v>16.615384615384617</v>
      </c>
      <c r="M16" s="23">
        <v>12.461538461538462</v>
      </c>
      <c r="N16" s="21">
        <v>9.2307692307692299</v>
      </c>
      <c r="O16" s="23">
        <v>6.7692307692307692</v>
      </c>
      <c r="P16" s="21">
        <v>5.0769230769230766</v>
      </c>
      <c r="Q16" s="23">
        <v>3.8461538461538463</v>
      </c>
      <c r="R16" s="21">
        <v>2.9230769230769229</v>
      </c>
      <c r="S16" s="23">
        <v>2</v>
      </c>
      <c r="T16" s="21">
        <v>1.4153846153846152</v>
      </c>
      <c r="U16" s="21">
        <v>1</v>
      </c>
      <c r="V16" s="23" t="str">
        <v/>
      </c>
      <c r="W16" s="21" t="str">
        <v/>
      </c>
      <c r="X16" s="21" t="str">
        <v/>
      </c>
      <c r="Y16" s="21" t="str">
        <v/>
      </c>
      <c r="Z16" s="21" t="str">
        <v/>
      </c>
    </row>
    <row r="17" spans="2:27" ht="15" thickBot="1">
      <c r="B17" s="34">
        <v>22</v>
      </c>
      <c r="C17" s="33">
        <v>4.5</v>
      </c>
      <c r="H17" s="26">
        <f>+CW_TFE_Table[[#This Row],[AWG]]</f>
        <v>22</v>
      </c>
      <c r="I17" s="65">
        <f>+CW_TFE_Table[[#This Row],['[A']]]</f>
        <v>4.5</v>
      </c>
      <c r="J17" s="22">
        <v>37.555555555555557</v>
      </c>
      <c r="K17" s="22">
        <v>32.666666666666664</v>
      </c>
      <c r="L17" s="22">
        <v>24</v>
      </c>
      <c r="M17" s="13">
        <v>18</v>
      </c>
      <c r="N17" s="22">
        <v>13.333333333333334</v>
      </c>
      <c r="O17" s="13">
        <v>9.7777777777777786</v>
      </c>
      <c r="P17" s="22">
        <v>7.333333333333333</v>
      </c>
      <c r="Q17" s="13">
        <v>5.5555555555555554</v>
      </c>
      <c r="R17" s="22">
        <v>4.2222222222222223</v>
      </c>
      <c r="S17" s="13">
        <v>2.8888888888888888</v>
      </c>
      <c r="T17" s="21">
        <v>2.0444444444444443</v>
      </c>
      <c r="U17" s="21">
        <v>1.4444444444444444</v>
      </c>
      <c r="V17" s="23">
        <v>1</v>
      </c>
      <c r="W17" s="21" t="str">
        <v/>
      </c>
      <c r="X17" s="21" t="str">
        <v/>
      </c>
      <c r="Y17" s="21" t="str">
        <v/>
      </c>
      <c r="Z17" s="21" t="str">
        <v/>
      </c>
    </row>
    <row r="18" spans="2:27">
      <c r="B18" s="34">
        <v>24</v>
      </c>
      <c r="C18" s="33">
        <v>3.3</v>
      </c>
      <c r="H18" s="5">
        <f>+CW_TFE_Table[[#This Row],[AWG]]</f>
        <v>24</v>
      </c>
      <c r="I18" s="60">
        <f>+CW_TFE_Table[[#This Row],['[A']]]</f>
        <v>3.3</v>
      </c>
      <c r="J18" s="21">
        <v>51.212121212121218</v>
      </c>
      <c r="K18" s="21">
        <v>44.545454545454547</v>
      </c>
      <c r="L18" s="21">
        <v>32.727272727272727</v>
      </c>
      <c r="M18" s="23">
        <v>24.545454545454547</v>
      </c>
      <c r="N18" s="21">
        <v>18.181818181818183</v>
      </c>
      <c r="O18" s="23">
        <v>13.333333333333334</v>
      </c>
      <c r="P18" s="21">
        <v>10</v>
      </c>
      <c r="Q18" s="23">
        <v>7.5757575757575761</v>
      </c>
      <c r="R18" s="21">
        <v>5.7575757575757578</v>
      </c>
      <c r="S18" s="23">
        <v>3.9393939393939394</v>
      </c>
      <c r="T18" s="21">
        <v>2.7878787878787876</v>
      </c>
      <c r="U18" s="21">
        <v>1.9696969696969697</v>
      </c>
      <c r="V18" s="23">
        <v>1.3636363636363638</v>
      </c>
      <c r="W18" s="21">
        <v>1</v>
      </c>
      <c r="X18" s="21" t="str">
        <v/>
      </c>
      <c r="Y18" s="21" t="str">
        <v/>
      </c>
      <c r="Z18" s="21" t="str">
        <v/>
      </c>
    </row>
    <row r="19" spans="2:27">
      <c r="B19" s="34">
        <v>26</v>
      </c>
      <c r="C19" s="33">
        <v>2.5</v>
      </c>
      <c r="H19" s="5">
        <f>+CW_TFE_Table[[#This Row],[AWG]]</f>
        <v>26</v>
      </c>
      <c r="I19" s="60">
        <f>+CW_TFE_Table[[#This Row],['[A']]]</f>
        <v>2.5</v>
      </c>
      <c r="J19" s="21">
        <v>67.599999999999994</v>
      </c>
      <c r="K19" s="21">
        <v>58.8</v>
      </c>
      <c r="L19" s="21">
        <v>43.2</v>
      </c>
      <c r="M19" s="23">
        <v>32.4</v>
      </c>
      <c r="N19" s="21">
        <v>24</v>
      </c>
      <c r="O19" s="23">
        <v>17.600000000000001</v>
      </c>
      <c r="P19" s="21">
        <v>13.2</v>
      </c>
      <c r="Q19" s="23">
        <v>10</v>
      </c>
      <c r="R19" s="21">
        <v>7.6</v>
      </c>
      <c r="S19" s="23">
        <v>5.2</v>
      </c>
      <c r="T19" s="21">
        <v>3.6799999999999997</v>
      </c>
      <c r="U19" s="21">
        <v>2.6</v>
      </c>
      <c r="V19" s="23">
        <v>1.8</v>
      </c>
      <c r="W19" s="21">
        <v>1.3199999999999998</v>
      </c>
      <c r="X19" s="21">
        <v>1</v>
      </c>
      <c r="Y19" s="21" t="str">
        <v/>
      </c>
      <c r="Z19" s="21" t="str">
        <v/>
      </c>
    </row>
    <row r="20" spans="2:27">
      <c r="B20" s="34">
        <v>28</v>
      </c>
      <c r="C20" s="33">
        <v>1.8</v>
      </c>
      <c r="H20" s="5">
        <f>+CW_TFE_Table[[#This Row],[AWG]]</f>
        <v>28</v>
      </c>
      <c r="I20" s="60">
        <f>+CW_TFE_Table[[#This Row],['[A']]]</f>
        <v>1.8</v>
      </c>
      <c r="J20" s="21">
        <v>93.888888888888886</v>
      </c>
      <c r="K20" s="21">
        <v>81.666666666666671</v>
      </c>
      <c r="L20" s="21">
        <v>60</v>
      </c>
      <c r="M20" s="23">
        <v>45</v>
      </c>
      <c r="N20" s="21">
        <v>33.333333333333336</v>
      </c>
      <c r="O20" s="23">
        <v>24.444444444444443</v>
      </c>
      <c r="P20" s="21">
        <v>18.333333333333332</v>
      </c>
      <c r="Q20" s="23">
        <v>13.888888888888889</v>
      </c>
      <c r="R20" s="21">
        <v>10.555555555555555</v>
      </c>
      <c r="S20" s="23">
        <v>7.2222222222222223</v>
      </c>
      <c r="T20" s="21">
        <v>5.1111111111111107</v>
      </c>
      <c r="U20" s="21">
        <v>3.6111111111111112</v>
      </c>
      <c r="V20" s="23">
        <v>2.5</v>
      </c>
      <c r="W20" s="21">
        <v>1.8333333333333333</v>
      </c>
      <c r="X20" s="21">
        <v>1.3888888888888888</v>
      </c>
      <c r="Y20" s="21">
        <v>1</v>
      </c>
      <c r="Z20" s="21" t="str">
        <v/>
      </c>
    </row>
    <row r="21" spans="2:27" ht="15" thickBot="1">
      <c r="B21" s="35">
        <v>30</v>
      </c>
      <c r="C21" s="36">
        <v>1.3</v>
      </c>
      <c r="H21" s="5">
        <f>+CW_TFE_Table[[#This Row],[AWG]]</f>
        <v>30</v>
      </c>
      <c r="I21" s="60">
        <f>+CW_TFE_Table[[#This Row],['[A']]]</f>
        <v>1.3</v>
      </c>
      <c r="J21" s="21">
        <v>130</v>
      </c>
      <c r="K21" s="21">
        <v>113.07692307692307</v>
      </c>
      <c r="L21" s="21">
        <v>83.07692307692308</v>
      </c>
      <c r="M21" s="24">
        <v>62.307692307692307</v>
      </c>
      <c r="N21" s="21">
        <v>46.153846153846153</v>
      </c>
      <c r="O21" s="24">
        <v>33.846153846153847</v>
      </c>
      <c r="P21" s="21">
        <v>25.384615384615383</v>
      </c>
      <c r="Q21" s="24">
        <v>19.23076923076923</v>
      </c>
      <c r="R21" s="21">
        <v>14.615384615384615</v>
      </c>
      <c r="S21" s="24">
        <v>10</v>
      </c>
      <c r="T21" s="21">
        <v>7.0769230769230758</v>
      </c>
      <c r="U21" s="21">
        <v>5</v>
      </c>
      <c r="V21" s="24">
        <v>3.4615384615384612</v>
      </c>
      <c r="W21" s="21">
        <v>2.5384615384615383</v>
      </c>
      <c r="X21" s="21">
        <v>1.9230769230769229</v>
      </c>
      <c r="Y21" s="21">
        <v>1.3846153846153846</v>
      </c>
      <c r="Z21" s="21">
        <v>1</v>
      </c>
    </row>
    <row r="22" spans="2:27" ht="15" thickBot="1"/>
    <row r="23" spans="2:27" ht="15" thickBot="1">
      <c r="B23" s="85" t="s">
        <v>33</v>
      </c>
      <c r="C23" s="86"/>
      <c r="D23" s="86"/>
      <c r="E23" s="87"/>
      <c r="H23" s="82" t="s">
        <v>29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4"/>
    </row>
    <row r="24" spans="2:27" ht="15" customHeight="1">
      <c r="B24" s="79" t="s">
        <v>37</v>
      </c>
      <c r="C24" s="88" t="s">
        <v>34</v>
      </c>
      <c r="D24" s="88"/>
      <c r="E24" s="88"/>
      <c r="H24" s="6" t="s">
        <v>0</v>
      </c>
      <c r="I24" s="59">
        <v>1</v>
      </c>
      <c r="J24" s="27" t="str">
        <f>+H26</f>
        <v>0000</v>
      </c>
      <c r="K24" s="16" t="str">
        <f>+H27</f>
        <v>000</v>
      </c>
      <c r="L24" s="16" t="str">
        <f>+H28</f>
        <v>00</v>
      </c>
      <c r="M24" s="16" t="str">
        <f>+H29</f>
        <v>0</v>
      </c>
      <c r="N24" s="16">
        <f>+H30</f>
        <v>1</v>
      </c>
      <c r="O24" s="16">
        <f>+H31</f>
        <v>2</v>
      </c>
      <c r="P24" s="28">
        <f>+H32</f>
        <v>4</v>
      </c>
      <c r="Q24" s="16">
        <f>+H33</f>
        <v>6</v>
      </c>
      <c r="R24" s="28">
        <f>+H34</f>
        <v>8</v>
      </c>
      <c r="S24" s="16">
        <f>+H35</f>
        <v>10</v>
      </c>
      <c r="T24" s="28">
        <f>+H36</f>
        <v>12</v>
      </c>
      <c r="U24" s="16">
        <f>+H37</f>
        <v>14</v>
      </c>
      <c r="V24" s="28">
        <f>+H38</f>
        <v>16</v>
      </c>
      <c r="W24" s="16">
        <f>+H39</f>
        <v>18</v>
      </c>
      <c r="X24" s="16">
        <f>+H40</f>
        <v>20</v>
      </c>
      <c r="Y24" s="16">
        <f>+H41</f>
        <v>22</v>
      </c>
      <c r="Z24" s="16">
        <f>+H42</f>
        <v>24</v>
      </c>
      <c r="AA24" s="6">
        <f>+H43</f>
        <v>26</v>
      </c>
    </row>
    <row r="25" spans="2:27">
      <c r="B25" s="15" t="s">
        <v>0</v>
      </c>
      <c r="C25" s="80" t="s">
        <v>37</v>
      </c>
      <c r="D25" s="80" t="s">
        <v>38</v>
      </c>
      <c r="E25" s="80" t="s">
        <v>39</v>
      </c>
      <c r="H25" s="59">
        <v>1</v>
      </c>
      <c r="I25" s="60">
        <f>+IF(H25/I24&gt;=1,H25/I24,"")</f>
        <v>1</v>
      </c>
      <c r="J25" s="61">
        <f ca="1">+I26</f>
        <v>204</v>
      </c>
      <c r="K25" s="61">
        <f ca="1">+I27</f>
        <v>172</v>
      </c>
      <c r="L25" s="61">
        <f ca="1">+I28</f>
        <v>147</v>
      </c>
      <c r="M25" s="61">
        <f ca="1">+I29</f>
        <v>128</v>
      </c>
      <c r="N25" s="61">
        <f ca="1">+I30</f>
        <v>113</v>
      </c>
      <c r="O25" s="61">
        <f ca="1">+I31</f>
        <v>95</v>
      </c>
      <c r="P25" s="62">
        <f ca="1">+I32</f>
        <v>68</v>
      </c>
      <c r="Q25" s="61">
        <f ca="1">+I33</f>
        <v>50</v>
      </c>
      <c r="R25" s="62">
        <f ca="1">+I34</f>
        <v>38</v>
      </c>
      <c r="S25" s="61">
        <f ca="1">+I35</f>
        <v>17</v>
      </c>
      <c r="T25" s="62">
        <f ca="1">+I36</f>
        <v>13</v>
      </c>
      <c r="U25" s="61">
        <f ca="1">+I37</f>
        <v>10</v>
      </c>
      <c r="V25" s="62">
        <f ca="1">+I38</f>
        <v>7</v>
      </c>
      <c r="W25" s="61">
        <f ca="1">+I39</f>
        <v>6</v>
      </c>
      <c r="X25" s="61">
        <f ca="1">+I40</f>
        <v>4</v>
      </c>
      <c r="Y25" s="61">
        <f ca="1">+I41</f>
        <v>3</v>
      </c>
      <c r="Z25" s="61">
        <f ca="1">+I42</f>
        <v>3</v>
      </c>
      <c r="AA25" s="63">
        <f ca="1">+I43</f>
        <v>2</v>
      </c>
    </row>
    <row r="26" spans="2:27">
      <c r="B26" s="15" t="s">
        <v>12</v>
      </c>
      <c r="C26">
        <v>204</v>
      </c>
      <c r="D26">
        <v>310</v>
      </c>
      <c r="E26">
        <v>395</v>
      </c>
      <c r="H26" s="5" t="str">
        <f>+AS50881D_Table[[#This Row],[AWG]]</f>
        <v>0000</v>
      </c>
      <c r="I26" s="60">
        <f ca="1">+LOOKUP(Temperature_C,AS50881D_Table[[#Headers],[105 °C]:[200 °C]],AS50881D_Table[[#This Row],[105 °C]])</f>
        <v>204</v>
      </c>
      <c r="J26" s="21">
        <f t="dataTable" ref="J26:AA43" dt2D="1" dtr="1" r1="H25" r2="I24" ca="1"/>
        <v>1</v>
      </c>
      <c r="K26" s="21" t="str">
        <v/>
      </c>
      <c r="L26" s="21" t="str">
        <v/>
      </c>
      <c r="M26" s="21" t="str">
        <v/>
      </c>
      <c r="N26" s="21" t="str">
        <v/>
      </c>
      <c r="O26" s="21" t="str">
        <v/>
      </c>
      <c r="P26" s="23" t="str">
        <v/>
      </c>
      <c r="Q26" s="21" t="str">
        <v/>
      </c>
      <c r="R26" s="23" t="str">
        <v/>
      </c>
      <c r="S26" s="21" t="str">
        <v/>
      </c>
      <c r="T26" s="23" t="str">
        <v/>
      </c>
      <c r="U26" s="21" t="str">
        <v/>
      </c>
      <c r="V26" s="23" t="str">
        <v/>
      </c>
      <c r="W26" s="21" t="str">
        <v/>
      </c>
      <c r="X26" s="21" t="str">
        <v/>
      </c>
      <c r="Y26" s="21" t="str">
        <v/>
      </c>
      <c r="Z26" s="21" t="str">
        <v/>
      </c>
      <c r="AA26" s="20" t="str">
        <v/>
      </c>
    </row>
    <row r="27" spans="2:27">
      <c r="B27" s="15" t="s">
        <v>13</v>
      </c>
      <c r="C27">
        <v>172</v>
      </c>
      <c r="D27">
        <v>262</v>
      </c>
      <c r="E27">
        <v>335</v>
      </c>
      <c r="H27" s="5" t="str">
        <f>+AS50881D_Table[[#This Row],[AWG]]</f>
        <v>000</v>
      </c>
      <c r="I27" s="60">
        <f ca="1">+LOOKUP(Temperature_C,AS50881D_Table[[#Headers],[105 °C]:[200 °C]],AS50881D_Table[[#This Row],[105 °C]])</f>
        <v>172</v>
      </c>
      <c r="J27" s="21">
        <v>1.1860465116279071</v>
      </c>
      <c r="K27" s="21">
        <v>1</v>
      </c>
      <c r="L27" s="21" t="str">
        <v/>
      </c>
      <c r="M27" s="21" t="str">
        <v/>
      </c>
      <c r="N27" s="21" t="str">
        <v/>
      </c>
      <c r="O27" s="21" t="str">
        <v/>
      </c>
      <c r="P27" s="23" t="str">
        <v/>
      </c>
      <c r="Q27" s="21" t="str">
        <v/>
      </c>
      <c r="R27" s="23" t="str">
        <v/>
      </c>
      <c r="S27" s="21" t="str">
        <v/>
      </c>
      <c r="T27" s="23" t="str">
        <v/>
      </c>
      <c r="U27" s="21" t="str">
        <v/>
      </c>
      <c r="V27" s="23" t="str">
        <v/>
      </c>
      <c r="W27" s="21" t="str">
        <v/>
      </c>
      <c r="X27" s="21" t="str">
        <v/>
      </c>
      <c r="Y27" s="21" t="str">
        <v/>
      </c>
      <c r="Z27" s="21" t="str">
        <v/>
      </c>
      <c r="AA27" s="20" t="str">
        <v/>
      </c>
    </row>
    <row r="28" spans="2:27">
      <c r="B28" s="15" t="s">
        <v>14</v>
      </c>
      <c r="C28">
        <v>147</v>
      </c>
      <c r="D28">
        <v>222</v>
      </c>
      <c r="E28">
        <v>285</v>
      </c>
      <c r="H28" s="5" t="str">
        <f>+AS50881D_Table[[#This Row],[AWG]]</f>
        <v>00</v>
      </c>
      <c r="I28" s="60">
        <f ca="1">+LOOKUP(Temperature_C,AS50881D_Table[[#Headers],[105 °C]:[200 °C]],AS50881D_Table[[#This Row],[105 °C]])</f>
        <v>147</v>
      </c>
      <c r="J28" s="21">
        <v>1.3877551020408163</v>
      </c>
      <c r="K28" s="21">
        <v>1.1700680272108843</v>
      </c>
      <c r="L28" s="21">
        <v>1</v>
      </c>
      <c r="M28" s="21" t="str">
        <v/>
      </c>
      <c r="N28" s="21" t="str">
        <v/>
      </c>
      <c r="O28" s="21" t="str">
        <v/>
      </c>
      <c r="P28" s="23" t="str">
        <v/>
      </c>
      <c r="Q28" s="21" t="str">
        <v/>
      </c>
      <c r="R28" s="23" t="str">
        <v/>
      </c>
      <c r="S28" s="21" t="str">
        <v/>
      </c>
      <c r="T28" s="23" t="str">
        <v/>
      </c>
      <c r="U28" s="21" t="str">
        <v/>
      </c>
      <c r="V28" s="23" t="str">
        <v/>
      </c>
      <c r="W28" s="21" t="str">
        <v/>
      </c>
      <c r="X28" s="21" t="str">
        <v/>
      </c>
      <c r="Y28" s="21" t="str">
        <v/>
      </c>
      <c r="Z28" s="21" t="str">
        <v/>
      </c>
      <c r="AA28" s="20" t="str">
        <v/>
      </c>
    </row>
    <row r="29" spans="2:27">
      <c r="B29" s="15" t="s">
        <v>31</v>
      </c>
      <c r="C29">
        <v>128</v>
      </c>
      <c r="D29">
        <v>192</v>
      </c>
      <c r="E29">
        <v>243</v>
      </c>
      <c r="H29" s="5" t="str">
        <f>+AS50881D_Table[[#This Row],[AWG]]</f>
        <v>0</v>
      </c>
      <c r="I29" s="60">
        <f ca="1">+LOOKUP(Temperature_C,AS50881D_Table[[#Headers],[105 °C]:[200 °C]],AS50881D_Table[[#This Row],[105 °C]])</f>
        <v>128</v>
      </c>
      <c r="J29" s="21">
        <v>1.59375</v>
      </c>
      <c r="K29" s="21">
        <v>1.34375</v>
      </c>
      <c r="L29" s="21">
        <v>1.1484375</v>
      </c>
      <c r="M29" s="21">
        <v>1</v>
      </c>
      <c r="N29" s="21" t="str">
        <v/>
      </c>
      <c r="O29" s="21" t="str">
        <v/>
      </c>
      <c r="P29" s="23" t="str">
        <v/>
      </c>
      <c r="Q29" s="21" t="str">
        <v/>
      </c>
      <c r="R29" s="23" t="str">
        <v/>
      </c>
      <c r="S29" s="21" t="str">
        <v/>
      </c>
      <c r="T29" s="23" t="str">
        <v/>
      </c>
      <c r="U29" s="21" t="str">
        <v/>
      </c>
      <c r="V29" s="23" t="str">
        <v/>
      </c>
      <c r="W29" s="21" t="str">
        <v/>
      </c>
      <c r="X29" s="21" t="str">
        <v/>
      </c>
      <c r="Y29" s="21" t="str">
        <v/>
      </c>
      <c r="Z29" s="21" t="str">
        <v/>
      </c>
      <c r="AA29" s="20" t="str">
        <v/>
      </c>
    </row>
    <row r="30" spans="2:27">
      <c r="B30" s="15">
        <v>1</v>
      </c>
      <c r="C30">
        <v>113</v>
      </c>
      <c r="D30">
        <v>166</v>
      </c>
      <c r="E30">
        <v>210</v>
      </c>
      <c r="H30" s="5">
        <f>+AS50881D_Table[[#This Row],[AWG]]</f>
        <v>1</v>
      </c>
      <c r="I30" s="60">
        <f ca="1">+LOOKUP(Temperature_C,AS50881D_Table[[#Headers],[105 °C]:[200 °C]],AS50881D_Table[[#This Row],[105 °C]])</f>
        <v>113</v>
      </c>
      <c r="J30" s="21">
        <v>1.8053097345132743</v>
      </c>
      <c r="K30" s="21">
        <v>1.5221238938053097</v>
      </c>
      <c r="L30" s="21">
        <v>1.3008849557522124</v>
      </c>
      <c r="M30" s="21">
        <v>1.1327433628318584</v>
      </c>
      <c r="N30" s="21">
        <v>1</v>
      </c>
      <c r="O30" s="21" t="str">
        <v/>
      </c>
      <c r="P30" s="23" t="str">
        <v/>
      </c>
      <c r="Q30" s="21" t="str">
        <v/>
      </c>
      <c r="R30" s="23" t="str">
        <v/>
      </c>
      <c r="S30" s="21" t="str">
        <v/>
      </c>
      <c r="T30" s="23" t="str">
        <v/>
      </c>
      <c r="U30" s="21" t="str">
        <v/>
      </c>
      <c r="V30" s="23" t="str">
        <v/>
      </c>
      <c r="W30" s="21" t="str">
        <v/>
      </c>
      <c r="X30" s="21" t="str">
        <v/>
      </c>
      <c r="Y30" s="21" t="str">
        <v/>
      </c>
      <c r="Z30" s="21" t="str">
        <v/>
      </c>
      <c r="AA30" s="20" t="str">
        <v/>
      </c>
    </row>
    <row r="31" spans="2:27">
      <c r="B31" s="15">
        <v>2</v>
      </c>
      <c r="C31">
        <v>95</v>
      </c>
      <c r="D31">
        <v>141</v>
      </c>
      <c r="E31">
        <v>179</v>
      </c>
      <c r="H31" s="5">
        <f>+AS50881D_Table[[#This Row],[AWG]]</f>
        <v>2</v>
      </c>
      <c r="I31" s="60">
        <f ca="1">+LOOKUP(Temperature_C,AS50881D_Table[[#Headers],[105 °C]:[200 °C]],AS50881D_Table[[#This Row],[105 °C]])</f>
        <v>95</v>
      </c>
      <c r="J31" s="21">
        <v>2.1473684210526316</v>
      </c>
      <c r="K31" s="21">
        <v>1.8105263157894738</v>
      </c>
      <c r="L31" s="21">
        <v>1.5473684210526315</v>
      </c>
      <c r="M31" s="21">
        <v>1.3473684210526315</v>
      </c>
      <c r="N31" s="21">
        <v>1.1894736842105262</v>
      </c>
      <c r="O31" s="21">
        <v>1</v>
      </c>
      <c r="P31" s="23" t="str">
        <v/>
      </c>
      <c r="Q31" s="21" t="str">
        <v/>
      </c>
      <c r="R31" s="23" t="str">
        <v/>
      </c>
      <c r="S31" s="21" t="str">
        <v/>
      </c>
      <c r="T31" s="23" t="str">
        <v/>
      </c>
      <c r="U31" s="21" t="str">
        <v/>
      </c>
      <c r="V31" s="23" t="str">
        <v/>
      </c>
      <c r="W31" s="21" t="str">
        <v/>
      </c>
      <c r="X31" s="21" t="str">
        <v/>
      </c>
      <c r="Y31" s="21" t="str">
        <v/>
      </c>
      <c r="Z31" s="21" t="str">
        <v/>
      </c>
      <c r="AA31" s="20" t="str">
        <v/>
      </c>
    </row>
    <row r="32" spans="2:27">
      <c r="B32" s="15">
        <v>4</v>
      </c>
      <c r="C32">
        <v>68</v>
      </c>
      <c r="D32">
        <v>103</v>
      </c>
      <c r="E32">
        <v>133</v>
      </c>
      <c r="H32" s="5">
        <f>+AS50881D_Table[[#This Row],[AWG]]</f>
        <v>4</v>
      </c>
      <c r="I32" s="60">
        <f ca="1">+LOOKUP(Temperature_C,AS50881D_Table[[#Headers],[105 °C]:[200 °C]],AS50881D_Table[[#This Row],[105 °C]])</f>
        <v>68</v>
      </c>
      <c r="J32" s="21">
        <v>3</v>
      </c>
      <c r="K32" s="21">
        <v>2.5294117647058822</v>
      </c>
      <c r="L32" s="21">
        <v>2.1617647058823528</v>
      </c>
      <c r="M32" s="21">
        <v>1.8823529411764706</v>
      </c>
      <c r="N32" s="21">
        <v>1.661764705882353</v>
      </c>
      <c r="O32" s="21">
        <v>1.3970588235294117</v>
      </c>
      <c r="P32" s="23">
        <v>1</v>
      </c>
      <c r="Q32" s="21" t="str">
        <v/>
      </c>
      <c r="R32" s="23" t="str">
        <v/>
      </c>
      <c r="S32" s="21" t="str">
        <v/>
      </c>
      <c r="T32" s="23" t="str">
        <v/>
      </c>
      <c r="U32" s="21" t="str">
        <v/>
      </c>
      <c r="V32" s="23" t="str">
        <v/>
      </c>
      <c r="W32" s="21" t="str">
        <v/>
      </c>
      <c r="X32" s="21" t="str">
        <v/>
      </c>
      <c r="Y32" s="21" t="str">
        <v/>
      </c>
      <c r="Z32" s="21" t="str">
        <v/>
      </c>
      <c r="AA32" s="20" t="str">
        <v/>
      </c>
    </row>
    <row r="33" spans="2:27" ht="15" thickBot="1">
      <c r="B33" s="15">
        <v>6</v>
      </c>
      <c r="C33">
        <v>50</v>
      </c>
      <c r="D33">
        <v>76</v>
      </c>
      <c r="E33">
        <v>97</v>
      </c>
      <c r="H33" s="5">
        <f>+AS50881D_Table[[#This Row],[AWG]]</f>
        <v>6</v>
      </c>
      <c r="I33" s="60">
        <f ca="1">+LOOKUP(Temperature_C,AS50881D_Table[[#Headers],[105 °C]:[200 °C]],AS50881D_Table[[#This Row],[105 °C]])</f>
        <v>50</v>
      </c>
      <c r="J33" s="21">
        <v>4.08</v>
      </c>
      <c r="K33" s="21">
        <v>3.44</v>
      </c>
      <c r="L33" s="21">
        <v>2.94</v>
      </c>
      <c r="M33" s="21">
        <v>2.56</v>
      </c>
      <c r="N33" s="21">
        <v>2.2599999999999998</v>
      </c>
      <c r="O33" s="21">
        <v>1.9</v>
      </c>
      <c r="P33" s="23">
        <v>1.36</v>
      </c>
      <c r="Q33" s="21">
        <v>1</v>
      </c>
      <c r="R33" s="23" t="str">
        <v/>
      </c>
      <c r="S33" s="21" t="str">
        <v/>
      </c>
      <c r="T33" s="23" t="str">
        <v/>
      </c>
      <c r="U33" s="21" t="str">
        <v/>
      </c>
      <c r="V33" s="23" t="str">
        <v/>
      </c>
      <c r="W33" s="21" t="str">
        <v/>
      </c>
      <c r="X33" s="21" t="str">
        <v/>
      </c>
      <c r="Y33" s="21" t="str">
        <v/>
      </c>
      <c r="Z33" s="21" t="str">
        <v/>
      </c>
      <c r="AA33" s="20" t="str">
        <v/>
      </c>
    </row>
    <row r="34" spans="2:27" ht="15" thickBot="1">
      <c r="B34" s="15">
        <v>8</v>
      </c>
      <c r="C34">
        <v>38</v>
      </c>
      <c r="D34">
        <v>57</v>
      </c>
      <c r="E34">
        <v>71</v>
      </c>
      <c r="H34" s="26">
        <f>+AS50881D_Table[[#This Row],[AWG]]</f>
        <v>8</v>
      </c>
      <c r="I34" s="65">
        <f ca="1">+LOOKUP(Temperature_C,AS50881D_Table[[#Headers],[105 °C]:[200 °C]],AS50881D_Table[[#This Row],[105 °C]])</f>
        <v>38</v>
      </c>
      <c r="J34" s="22">
        <v>5.3684210526315788</v>
      </c>
      <c r="K34" s="22">
        <v>4.5263157894736841</v>
      </c>
      <c r="L34" s="22">
        <v>3.8684210526315788</v>
      </c>
      <c r="M34" s="22">
        <v>3.3684210526315788</v>
      </c>
      <c r="N34" s="22">
        <v>2.9736842105263159</v>
      </c>
      <c r="O34" s="22">
        <v>2.5</v>
      </c>
      <c r="P34" s="13">
        <v>1.7894736842105263</v>
      </c>
      <c r="Q34" s="22">
        <v>1.3157894736842106</v>
      </c>
      <c r="R34" s="23">
        <v>1</v>
      </c>
      <c r="S34" s="21" t="str">
        <v/>
      </c>
      <c r="T34" s="23" t="str">
        <v/>
      </c>
      <c r="U34" s="21" t="str">
        <v/>
      </c>
      <c r="V34" s="23" t="str">
        <v/>
      </c>
      <c r="W34" s="21" t="str">
        <v/>
      </c>
      <c r="X34" s="21" t="str">
        <v/>
      </c>
      <c r="Y34" s="21" t="str">
        <v/>
      </c>
      <c r="Z34" s="21" t="str">
        <v/>
      </c>
      <c r="AA34" s="20" t="str">
        <v/>
      </c>
    </row>
    <row r="35" spans="2:27" ht="15" thickBot="1">
      <c r="B35" s="15">
        <v>10</v>
      </c>
      <c r="C35">
        <v>17</v>
      </c>
      <c r="D35">
        <v>26</v>
      </c>
      <c r="E35">
        <v>32</v>
      </c>
      <c r="H35" s="5">
        <f>+AS50881D_Table[[#This Row],[AWG]]</f>
        <v>10</v>
      </c>
      <c r="I35" s="60">
        <f ca="1">+LOOKUP(Temperature_C,AS50881D_Table[[#Headers],[105 °C]:[200 °C]],AS50881D_Table[[#This Row],[105 °C]])</f>
        <v>17</v>
      </c>
      <c r="J35" s="21">
        <v>12</v>
      </c>
      <c r="K35" s="21">
        <v>10.117647058823529</v>
      </c>
      <c r="L35" s="21">
        <v>8.6470588235294112</v>
      </c>
      <c r="M35" s="21">
        <v>7.5294117647058822</v>
      </c>
      <c r="N35" s="21">
        <v>6.6470588235294121</v>
      </c>
      <c r="O35" s="21">
        <v>5.5882352941176467</v>
      </c>
      <c r="P35" s="23">
        <v>4</v>
      </c>
      <c r="Q35" s="21">
        <v>2.9411764705882355</v>
      </c>
      <c r="R35" s="23">
        <v>2.2352941176470589</v>
      </c>
      <c r="S35" s="21">
        <v>1</v>
      </c>
      <c r="T35" s="23" t="str">
        <v/>
      </c>
      <c r="U35" s="21" t="str">
        <v/>
      </c>
      <c r="V35" s="23" t="str">
        <v/>
      </c>
      <c r="W35" s="21" t="str">
        <v/>
      </c>
      <c r="X35" s="21" t="str">
        <v/>
      </c>
      <c r="Y35" s="21" t="str">
        <v/>
      </c>
      <c r="Z35" s="21" t="str">
        <v/>
      </c>
      <c r="AA35" s="20" t="str">
        <v/>
      </c>
    </row>
    <row r="36" spans="2:27" ht="15" thickBot="1">
      <c r="B36" s="15">
        <v>12</v>
      </c>
      <c r="C36">
        <v>13</v>
      </c>
      <c r="D36">
        <v>19</v>
      </c>
      <c r="E36">
        <v>25</v>
      </c>
      <c r="H36" s="26">
        <f>+AS50881D_Table[[#This Row],[AWG]]</f>
        <v>12</v>
      </c>
      <c r="I36" s="65">
        <f ca="1">+LOOKUP(Temperature_C,AS50881D_Table[[#Headers],[105 °C]:[200 °C]],AS50881D_Table[[#This Row],[105 °C]])</f>
        <v>13</v>
      </c>
      <c r="J36" s="22">
        <v>15.692307692307692</v>
      </c>
      <c r="K36" s="22">
        <v>13.23076923076923</v>
      </c>
      <c r="L36" s="22">
        <v>11.307692307692308</v>
      </c>
      <c r="M36" s="22">
        <v>9.8461538461538467</v>
      </c>
      <c r="N36" s="22">
        <v>8.6923076923076916</v>
      </c>
      <c r="O36" s="22">
        <v>7.3076923076923075</v>
      </c>
      <c r="P36" s="13">
        <v>5.2307692307692308</v>
      </c>
      <c r="Q36" s="22">
        <v>3.8461538461538463</v>
      </c>
      <c r="R36" s="13">
        <v>2.9230769230769229</v>
      </c>
      <c r="S36" s="22">
        <v>1.3076923076923077</v>
      </c>
      <c r="T36" s="23">
        <v>1</v>
      </c>
      <c r="U36" s="21" t="str">
        <v/>
      </c>
      <c r="V36" s="23" t="str">
        <v/>
      </c>
      <c r="W36" s="21" t="str">
        <v/>
      </c>
      <c r="X36" s="21" t="str">
        <v/>
      </c>
      <c r="Y36" s="21" t="str">
        <v/>
      </c>
      <c r="Z36" s="21" t="str">
        <v/>
      </c>
      <c r="AA36" s="20" t="str">
        <v/>
      </c>
    </row>
    <row r="37" spans="2:27" ht="15" thickBot="1">
      <c r="B37" s="15">
        <v>14</v>
      </c>
      <c r="C37">
        <v>10</v>
      </c>
      <c r="D37">
        <v>14</v>
      </c>
      <c r="E37">
        <v>18</v>
      </c>
      <c r="H37" s="5">
        <f>+AS50881D_Table[[#This Row],[AWG]]</f>
        <v>14</v>
      </c>
      <c r="I37" s="60">
        <f ca="1">+LOOKUP(Temperature_C,AS50881D_Table[[#Headers],[105 °C]:[200 °C]],AS50881D_Table[[#This Row],[105 °C]])</f>
        <v>10</v>
      </c>
      <c r="J37" s="21">
        <v>20.399999999999999</v>
      </c>
      <c r="K37" s="21">
        <v>17.2</v>
      </c>
      <c r="L37" s="21">
        <v>14.7</v>
      </c>
      <c r="M37" s="21">
        <v>12.8</v>
      </c>
      <c r="N37" s="21">
        <v>11.3</v>
      </c>
      <c r="O37" s="21">
        <v>9.5</v>
      </c>
      <c r="P37" s="23">
        <v>6.8</v>
      </c>
      <c r="Q37" s="21">
        <v>5</v>
      </c>
      <c r="R37" s="23">
        <v>3.8</v>
      </c>
      <c r="S37" s="21">
        <v>1.7</v>
      </c>
      <c r="T37" s="23">
        <v>1.3</v>
      </c>
      <c r="U37" s="21">
        <v>1</v>
      </c>
      <c r="V37" s="23" t="str">
        <v/>
      </c>
      <c r="W37" s="21" t="str">
        <v/>
      </c>
      <c r="X37" s="21" t="str">
        <v/>
      </c>
      <c r="Y37" s="21" t="str">
        <v/>
      </c>
      <c r="Z37" s="21" t="str">
        <v/>
      </c>
      <c r="AA37" s="20" t="str">
        <v/>
      </c>
    </row>
    <row r="38" spans="2:27" ht="15" thickBot="1">
      <c r="B38" s="15">
        <v>16</v>
      </c>
      <c r="C38">
        <v>7</v>
      </c>
      <c r="D38">
        <v>11</v>
      </c>
      <c r="E38">
        <v>14</v>
      </c>
      <c r="H38" s="26">
        <f>+AS50881D_Table[[#This Row],[AWG]]</f>
        <v>16</v>
      </c>
      <c r="I38" s="65">
        <f ca="1">+LOOKUP(Temperature_C,AS50881D_Table[[#Headers],[105 °C]:[200 °C]],AS50881D_Table[[#This Row],[105 °C]])</f>
        <v>7</v>
      </c>
      <c r="J38" s="22">
        <v>29.142857142857142</v>
      </c>
      <c r="K38" s="22">
        <v>24.571428571428573</v>
      </c>
      <c r="L38" s="22">
        <v>21</v>
      </c>
      <c r="M38" s="22">
        <v>18.285714285714285</v>
      </c>
      <c r="N38" s="22">
        <v>16.142857142857142</v>
      </c>
      <c r="O38" s="22">
        <v>13.571428571428571</v>
      </c>
      <c r="P38" s="13">
        <v>9.7142857142857135</v>
      </c>
      <c r="Q38" s="22">
        <v>7.1428571428571432</v>
      </c>
      <c r="R38" s="13">
        <v>5.4285714285714288</v>
      </c>
      <c r="S38" s="22">
        <v>2.4285714285714284</v>
      </c>
      <c r="T38" s="13">
        <v>1.8571428571428572</v>
      </c>
      <c r="U38" s="22">
        <v>1.4285714285714286</v>
      </c>
      <c r="V38" s="23">
        <v>1</v>
      </c>
      <c r="W38" s="21" t="str">
        <v/>
      </c>
      <c r="X38" s="21" t="str">
        <v/>
      </c>
      <c r="Y38" s="21" t="str">
        <v/>
      </c>
      <c r="Z38" s="21" t="str">
        <v/>
      </c>
      <c r="AA38" s="20" t="str">
        <v/>
      </c>
    </row>
    <row r="39" spans="2:27">
      <c r="B39" s="15">
        <v>18</v>
      </c>
      <c r="C39">
        <v>6</v>
      </c>
      <c r="D39">
        <v>9</v>
      </c>
      <c r="E39">
        <v>12</v>
      </c>
      <c r="H39" s="5">
        <f>+AS50881D_Table[[#This Row],[AWG]]</f>
        <v>18</v>
      </c>
      <c r="I39" s="60">
        <f ca="1">+LOOKUP(Temperature_C,AS50881D_Table[[#Headers],[105 °C]:[200 °C]],AS50881D_Table[[#This Row],[105 °C]])</f>
        <v>6</v>
      </c>
      <c r="J39" s="21">
        <v>34</v>
      </c>
      <c r="K39" s="21">
        <v>28.666666666666668</v>
      </c>
      <c r="L39" s="21">
        <v>24.5</v>
      </c>
      <c r="M39" s="21">
        <v>21.333333333333332</v>
      </c>
      <c r="N39" s="21">
        <v>18.833333333333332</v>
      </c>
      <c r="O39" s="21">
        <v>15.833333333333334</v>
      </c>
      <c r="P39" s="23">
        <v>11.333333333333334</v>
      </c>
      <c r="Q39" s="21">
        <v>8.3333333333333339</v>
      </c>
      <c r="R39" s="23">
        <v>6.333333333333333</v>
      </c>
      <c r="S39" s="21">
        <v>2.8333333333333335</v>
      </c>
      <c r="T39" s="23">
        <v>2.1666666666666665</v>
      </c>
      <c r="U39" s="21">
        <v>1.6666666666666667</v>
      </c>
      <c r="V39" s="23">
        <v>1.1666666666666667</v>
      </c>
      <c r="W39" s="21">
        <v>1</v>
      </c>
      <c r="X39" s="21" t="str">
        <v/>
      </c>
      <c r="Y39" s="21" t="str">
        <v/>
      </c>
      <c r="Z39" s="21" t="str">
        <v/>
      </c>
      <c r="AA39" s="20" t="str">
        <v/>
      </c>
    </row>
    <row r="40" spans="2:27" ht="15" thickBot="1">
      <c r="B40" s="15">
        <v>20</v>
      </c>
      <c r="C40">
        <v>4</v>
      </c>
      <c r="D40">
        <v>7</v>
      </c>
      <c r="E40">
        <v>9</v>
      </c>
      <c r="H40" s="5">
        <f>+AS50881D_Table[[#This Row],[AWG]]</f>
        <v>20</v>
      </c>
      <c r="I40" s="60">
        <f ca="1">+LOOKUP(Temperature_C,AS50881D_Table[[#Headers],[105 °C]:[200 °C]],AS50881D_Table[[#This Row],[105 °C]])</f>
        <v>4</v>
      </c>
      <c r="J40" s="21">
        <v>51</v>
      </c>
      <c r="K40" s="21">
        <v>43</v>
      </c>
      <c r="L40" s="21">
        <v>36.75</v>
      </c>
      <c r="M40" s="21">
        <v>32</v>
      </c>
      <c r="N40" s="21">
        <v>28.25</v>
      </c>
      <c r="O40" s="21">
        <v>23.75</v>
      </c>
      <c r="P40" s="23">
        <v>17</v>
      </c>
      <c r="Q40" s="21">
        <v>12.5</v>
      </c>
      <c r="R40" s="23">
        <v>9.5</v>
      </c>
      <c r="S40" s="21">
        <v>4.25</v>
      </c>
      <c r="T40" s="23">
        <v>3.25</v>
      </c>
      <c r="U40" s="21">
        <v>2.5</v>
      </c>
      <c r="V40" s="23">
        <v>1.75</v>
      </c>
      <c r="W40" s="21">
        <v>1.5</v>
      </c>
      <c r="X40" s="21">
        <v>1</v>
      </c>
      <c r="Y40" s="21" t="str">
        <v/>
      </c>
      <c r="Z40" s="21" t="str">
        <v/>
      </c>
      <c r="AA40" s="20" t="str">
        <v/>
      </c>
    </row>
    <row r="41" spans="2:27" ht="15" thickBot="1">
      <c r="B41" s="15">
        <v>22</v>
      </c>
      <c r="C41">
        <v>3</v>
      </c>
      <c r="D41">
        <v>5</v>
      </c>
      <c r="E41">
        <v>6</v>
      </c>
      <c r="H41" s="26">
        <f>+AS50881D_Table[[#This Row],[AWG]]</f>
        <v>22</v>
      </c>
      <c r="I41" s="65">
        <f ca="1">+LOOKUP(Temperature_C,AS50881D_Table[[#Headers],[105 °C]:[200 °C]],AS50881D_Table[[#This Row],[105 °C]])</f>
        <v>3</v>
      </c>
      <c r="J41" s="22">
        <v>68</v>
      </c>
      <c r="K41" s="22">
        <v>57.333333333333336</v>
      </c>
      <c r="L41" s="22">
        <v>49</v>
      </c>
      <c r="M41" s="22">
        <v>42.666666666666664</v>
      </c>
      <c r="N41" s="22">
        <v>37.666666666666664</v>
      </c>
      <c r="O41" s="22">
        <v>31.666666666666668</v>
      </c>
      <c r="P41" s="13">
        <v>22.666666666666668</v>
      </c>
      <c r="Q41" s="22">
        <v>16.666666666666668</v>
      </c>
      <c r="R41" s="13">
        <v>12.666666666666666</v>
      </c>
      <c r="S41" s="22">
        <v>5.666666666666667</v>
      </c>
      <c r="T41" s="13">
        <v>4.333333333333333</v>
      </c>
      <c r="U41" s="22">
        <v>3.3333333333333335</v>
      </c>
      <c r="V41" s="13">
        <v>2.3333333333333335</v>
      </c>
      <c r="W41" s="22">
        <v>2</v>
      </c>
      <c r="X41" s="25">
        <v>1.3333333333333333</v>
      </c>
      <c r="Y41" s="21">
        <v>1</v>
      </c>
      <c r="Z41" s="21">
        <v>1</v>
      </c>
      <c r="AA41" s="20" t="str">
        <v/>
      </c>
    </row>
    <row r="42" spans="2:27">
      <c r="B42" s="15">
        <v>24</v>
      </c>
      <c r="C42">
        <v>3</v>
      </c>
      <c r="D42">
        <v>4</v>
      </c>
      <c r="E42">
        <v>5</v>
      </c>
      <c r="H42" s="5">
        <f>+AS50881D_Table[[#This Row],[AWG]]</f>
        <v>24</v>
      </c>
      <c r="I42" s="60">
        <f ca="1">+LOOKUP(Temperature_C,AS50881D_Table[[#Headers],[105 °C]:[200 °C]],AS50881D_Table[[#This Row],[105 °C]])</f>
        <v>3</v>
      </c>
      <c r="J42" s="21">
        <v>68</v>
      </c>
      <c r="K42" s="21">
        <v>57.333333333333336</v>
      </c>
      <c r="L42" s="21">
        <v>49</v>
      </c>
      <c r="M42" s="21">
        <v>42.666666666666664</v>
      </c>
      <c r="N42" s="21">
        <v>37.666666666666664</v>
      </c>
      <c r="O42" s="21">
        <v>31.666666666666668</v>
      </c>
      <c r="P42" s="23">
        <v>22.666666666666668</v>
      </c>
      <c r="Q42" s="21">
        <v>16.666666666666668</v>
      </c>
      <c r="R42" s="23">
        <v>12.666666666666666</v>
      </c>
      <c r="S42" s="21">
        <v>5.666666666666667</v>
      </c>
      <c r="T42" s="23">
        <v>4.333333333333333</v>
      </c>
      <c r="U42" s="21">
        <v>3.3333333333333335</v>
      </c>
      <c r="V42" s="23">
        <v>2.3333333333333335</v>
      </c>
      <c r="W42" s="21">
        <v>2</v>
      </c>
      <c r="X42" s="21">
        <v>1.3333333333333333</v>
      </c>
      <c r="Y42" s="21">
        <v>1</v>
      </c>
      <c r="Z42" s="21">
        <v>1</v>
      </c>
      <c r="AA42" s="20" t="str">
        <v/>
      </c>
    </row>
    <row r="43" spans="2:27" ht="15" thickBot="1">
      <c r="B43" s="15">
        <v>26</v>
      </c>
      <c r="C43">
        <v>2</v>
      </c>
      <c r="D43">
        <v>3</v>
      </c>
      <c r="E43">
        <v>4</v>
      </c>
      <c r="H43" s="5">
        <f>+AS50881D_Table[[#This Row],[AWG]]</f>
        <v>26</v>
      </c>
      <c r="I43" s="60">
        <f ca="1">+LOOKUP(Temperature_C,AS50881D_Table[[#Headers],[105 °C]:[200 °C]],AS50881D_Table[[#This Row],[105 °C]])</f>
        <v>2</v>
      </c>
      <c r="J43" s="20">
        <v>102</v>
      </c>
      <c r="K43" s="20">
        <v>86</v>
      </c>
      <c r="L43" s="20">
        <v>73.5</v>
      </c>
      <c r="M43" s="20">
        <v>64</v>
      </c>
      <c r="N43" s="20">
        <v>56.5</v>
      </c>
      <c r="O43" s="20">
        <v>47.5</v>
      </c>
      <c r="P43" s="29">
        <v>34</v>
      </c>
      <c r="Q43" s="20">
        <v>25</v>
      </c>
      <c r="R43" s="29">
        <v>19</v>
      </c>
      <c r="S43" s="20">
        <v>8.5</v>
      </c>
      <c r="T43" s="29">
        <v>6.5</v>
      </c>
      <c r="U43" s="20">
        <v>5</v>
      </c>
      <c r="V43" s="29">
        <v>3.5</v>
      </c>
      <c r="W43" s="20">
        <v>3</v>
      </c>
      <c r="X43" s="20">
        <v>2</v>
      </c>
      <c r="Y43" s="20">
        <v>1.5</v>
      </c>
      <c r="Z43" s="20">
        <v>1.5</v>
      </c>
      <c r="AA43" s="21">
        <v>1</v>
      </c>
    </row>
    <row r="44" spans="2:27">
      <c r="B44" s="15"/>
    </row>
    <row r="45" spans="2:27">
      <c r="B45" s="15"/>
    </row>
    <row r="46" spans="2:27">
      <c r="B46" s="15"/>
    </row>
    <row r="47" spans="2:27">
      <c r="B47" s="15"/>
    </row>
    <row r="48" spans="2:27">
      <c r="B48" s="15"/>
    </row>
    <row r="49" spans="2:2">
      <c r="B49" s="15"/>
    </row>
    <row r="50" spans="2:2">
      <c r="B50" s="15"/>
    </row>
    <row r="51" spans="2:2">
      <c r="B51" s="15"/>
    </row>
    <row r="52" spans="2:2">
      <c r="B52" s="15"/>
    </row>
  </sheetData>
  <sortState xmlns:xlrd2="http://schemas.microsoft.com/office/spreadsheetml/2017/richdata2" ref="B62:Y65">
    <sortCondition descending="1" ref="B62"/>
  </sortState>
  <mergeCells count="5">
    <mergeCell ref="H2:Z2"/>
    <mergeCell ref="B23:E23"/>
    <mergeCell ref="C24:E24"/>
    <mergeCell ref="H23:AA23"/>
    <mergeCell ref="B2:C3"/>
  </mergeCells>
  <conditionalFormatting sqref="J5:Z21">
    <cfRule type="cellIs" dxfId="20" priority="8" stopIfTrue="1" operator="equal">
      <formula>1</formula>
    </cfRule>
    <cfRule type="cellIs" dxfId="19" priority="9" operator="between">
      <formula>5</formula>
      <formula>6</formula>
    </cfRule>
    <cfRule type="cellIs" dxfId="18" priority="10" operator="between">
      <formula>4</formula>
      <formula>5</formula>
    </cfRule>
    <cfRule type="cellIs" dxfId="17" priority="11" operator="between">
      <formula>3</formula>
      <formula>4</formula>
    </cfRule>
    <cfRule type="cellIs" dxfId="16" priority="12" operator="between">
      <formula>2</formula>
      <formula>3</formula>
    </cfRule>
    <cfRule type="cellIs" dxfId="15" priority="13" operator="between">
      <formula>1</formula>
      <formula>2</formula>
    </cfRule>
    <cfRule type="cellIs" dxfId="14" priority="14" operator="lessThan">
      <formula>1</formula>
    </cfRule>
  </conditionalFormatting>
  <conditionalFormatting sqref="J26:Z43">
    <cfRule type="cellIs" dxfId="13" priority="1" stopIfTrue="1" operator="equal">
      <formula>1</formula>
    </cfRule>
    <cfRule type="cellIs" dxfId="12" priority="2" operator="between">
      <formula>5</formula>
      <formula>6</formula>
    </cfRule>
    <cfRule type="cellIs" dxfId="11" priority="3" operator="between">
      <formula>4</formula>
      <formula>5</formula>
    </cfRule>
    <cfRule type="cellIs" dxfId="10" priority="4" operator="between">
      <formula>3</formula>
      <formula>4</formula>
    </cfRule>
    <cfRule type="cellIs" dxfId="9" priority="5" operator="between">
      <formula>2</formula>
      <formula>3</formula>
    </cfRule>
    <cfRule type="cellIs" dxfId="8" priority="6" operator="between">
      <formula>1</formula>
      <formula>2</formula>
    </cfRule>
    <cfRule type="cellIs" dxfId="7" priority="7" operator="lessThan">
      <formula>1</formula>
    </cfRule>
  </conditionalFormatting>
  <dataValidations count="1">
    <dataValidation type="list" allowBlank="1" showInputMessage="1" showErrorMessage="1" sqref="B24" xr:uid="{00000000-0002-0000-0000-000000000000}">
      <formula1>$C$25:$E$25</formula1>
    </dataValidation>
  </dataValidations>
  <pageMargins left="0.25" right="0.25" top="0.75" bottom="0.75" header="0.3" footer="0.3"/>
  <pageSetup scale="80" orientation="landscape" r:id="rId1"/>
  <ignoredErrors>
    <ignoredError sqref="B26:B29 B5" numberStoredAsText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2"/>
  <sheetViews>
    <sheetView zoomScale="160" zoomScaleNormal="160" workbookViewId="0">
      <selection activeCell="T33" sqref="T33"/>
    </sheetView>
  </sheetViews>
  <sheetFormatPr defaultRowHeight="14.4"/>
  <cols>
    <col min="1" max="1" width="10.44140625" bestFit="1" customWidth="1"/>
    <col min="2" max="3" width="11" customWidth="1"/>
    <col min="4" max="4" width="3.44140625" customWidth="1"/>
    <col min="5" max="5" width="5.6640625" bestFit="1" customWidth="1"/>
    <col min="6" max="6" width="8.33203125" bestFit="1" customWidth="1"/>
    <col min="7" max="10" width="8.33203125" hidden="1" customWidth="1"/>
    <col min="11" max="13" width="7.33203125" hidden="1" customWidth="1"/>
    <col min="14" max="14" width="7.33203125" bestFit="1" customWidth="1"/>
    <col min="15" max="15" width="7.33203125" hidden="1" customWidth="1"/>
    <col min="16" max="16" width="7.33203125" bestFit="1" customWidth="1"/>
    <col min="17" max="17" width="7.33203125" hidden="1" customWidth="1"/>
    <col min="18" max="18" width="7.33203125" bestFit="1" customWidth="1"/>
    <col min="19" max="19" width="7.33203125" hidden="1" customWidth="1"/>
    <col min="20" max="20" width="7.33203125" bestFit="1" customWidth="1"/>
    <col min="21" max="21" width="6.109375" hidden="1" customWidth="1"/>
    <col min="22" max="22" width="6.109375" bestFit="1" customWidth="1"/>
    <col min="23" max="23" width="6.109375" hidden="1" customWidth="1"/>
    <col min="24" max="24" width="6.109375" customWidth="1"/>
    <col min="25" max="25" width="6.109375" hidden="1" customWidth="1"/>
    <col min="26" max="26" width="6.109375" customWidth="1"/>
    <col min="27" max="27" width="6.109375" hidden="1" customWidth="1"/>
    <col min="28" max="28" width="6.109375" customWidth="1"/>
    <col min="29" max="29" width="6.109375" hidden="1" customWidth="1"/>
    <col min="30" max="30" width="6.109375" customWidth="1"/>
    <col min="31" max="31" width="5" hidden="1" customWidth="1"/>
    <col min="32" max="32" width="5.6640625" customWidth="1"/>
    <col min="33" max="33" width="5" hidden="1" customWidth="1"/>
    <col min="34" max="34" width="5" customWidth="1"/>
    <col min="35" max="35" width="5" hidden="1" customWidth="1"/>
    <col min="36" max="50" width="5" customWidth="1"/>
    <col min="51" max="55" width="9.109375" customWidth="1"/>
  </cols>
  <sheetData>
    <row r="1" spans="1:50" ht="15" thickBot="1">
      <c r="E1" s="90" t="s">
        <v>35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2"/>
    </row>
    <row r="2" spans="1:50" ht="15" thickBot="1">
      <c r="E2" s="37" t="s">
        <v>0</v>
      </c>
      <c r="F2" s="74">
        <v>1</v>
      </c>
      <c r="G2" s="51" t="str">
        <f>+E4</f>
        <v>0000</v>
      </c>
      <c r="H2" s="52" t="str">
        <f>+E5</f>
        <v>000</v>
      </c>
      <c r="I2" s="52" t="str">
        <f>+E6</f>
        <v>00</v>
      </c>
      <c r="J2" s="52">
        <f>+E7</f>
        <v>0</v>
      </c>
      <c r="K2" s="52">
        <f>+E8</f>
        <v>1</v>
      </c>
      <c r="L2" s="52">
        <f>+E9</f>
        <v>2</v>
      </c>
      <c r="M2" s="52">
        <f>+E10</f>
        <v>3</v>
      </c>
      <c r="N2" s="52">
        <f>+E11</f>
        <v>4</v>
      </c>
      <c r="O2" s="52">
        <f>+E12</f>
        <v>5</v>
      </c>
      <c r="P2" s="52">
        <f>+E13</f>
        <v>6</v>
      </c>
      <c r="Q2" s="52">
        <f>+E14</f>
        <v>7</v>
      </c>
      <c r="R2" s="52">
        <f>+E15</f>
        <v>8</v>
      </c>
      <c r="S2" s="52">
        <f>+E16</f>
        <v>9</v>
      </c>
      <c r="T2" s="52">
        <f>+E17</f>
        <v>10</v>
      </c>
      <c r="U2" s="52">
        <f>+E18</f>
        <v>11</v>
      </c>
      <c r="V2" s="52">
        <f>+E19</f>
        <v>12</v>
      </c>
      <c r="W2" s="52">
        <f>+E20</f>
        <v>13</v>
      </c>
      <c r="X2" s="52">
        <f>+E21</f>
        <v>14</v>
      </c>
      <c r="Y2" s="52">
        <f>+E22</f>
        <v>15</v>
      </c>
      <c r="Z2" s="52">
        <f>+E23</f>
        <v>16</v>
      </c>
      <c r="AA2" s="53">
        <f>+E24</f>
        <v>17</v>
      </c>
      <c r="AB2" s="53">
        <f>+E25</f>
        <v>18</v>
      </c>
      <c r="AC2" s="53">
        <f>+E26</f>
        <v>19</v>
      </c>
      <c r="AD2" s="53">
        <f>+E27</f>
        <v>20</v>
      </c>
      <c r="AE2" s="53">
        <f>+E28</f>
        <v>21</v>
      </c>
      <c r="AF2" s="54">
        <f>+E29</f>
        <v>22</v>
      </c>
      <c r="AG2" s="50">
        <f>+E30</f>
        <v>23</v>
      </c>
      <c r="AH2" s="43">
        <f>+E31</f>
        <v>24</v>
      </c>
      <c r="AI2" s="43">
        <f>+E32</f>
        <v>25</v>
      </c>
      <c r="AJ2" s="43">
        <f>+E33</f>
        <v>26</v>
      </c>
      <c r="AK2" s="43">
        <f>+E34</f>
        <v>27</v>
      </c>
      <c r="AL2" s="43">
        <f>+E35</f>
        <v>28</v>
      </c>
      <c r="AM2" s="43">
        <f>+E36</f>
        <v>29</v>
      </c>
      <c r="AN2" s="43">
        <f>+E37</f>
        <v>30</v>
      </c>
      <c r="AO2" s="43">
        <f>+E38</f>
        <v>31</v>
      </c>
      <c r="AP2" s="43">
        <f>+E39</f>
        <v>32</v>
      </c>
      <c r="AQ2" s="43">
        <f>+E40</f>
        <v>33</v>
      </c>
      <c r="AR2" s="43">
        <f>+E41</f>
        <v>34</v>
      </c>
      <c r="AS2" s="43">
        <f>+E42</f>
        <v>35</v>
      </c>
      <c r="AT2" s="43">
        <f>+E43</f>
        <v>36</v>
      </c>
      <c r="AU2" s="43">
        <f>+E44</f>
        <v>37</v>
      </c>
      <c r="AV2" s="43">
        <f>+E45</f>
        <v>38</v>
      </c>
      <c r="AW2" s="43">
        <f>+E46</f>
        <v>39</v>
      </c>
      <c r="AX2" s="43">
        <f>+E47</f>
        <v>40</v>
      </c>
    </row>
    <row r="3" spans="1:50" ht="15" thickBot="1">
      <c r="A3" s="5" t="s">
        <v>0</v>
      </c>
      <c r="B3" s="6" t="s">
        <v>28</v>
      </c>
      <c r="C3" t="s">
        <v>36</v>
      </c>
      <c r="E3" s="66">
        <v>1</v>
      </c>
      <c r="F3" s="67">
        <f>+IF(E3/F2&gt;=1,E3/F2,"")</f>
        <v>1</v>
      </c>
      <c r="G3" s="68">
        <f>+F4</f>
        <v>107.2193025770305</v>
      </c>
      <c r="H3" s="69">
        <f>+F5</f>
        <v>85.030366397015413</v>
      </c>
      <c r="I3" s="69">
        <f>+F6</f>
        <v>67.428942845046265</v>
      </c>
      <c r="J3" s="69">
        <f>+F7</f>
        <v>53.473010614166597</v>
      </c>
      <c r="K3" s="69">
        <f>+F8</f>
        <v>42.406084717727417</v>
      </c>
      <c r="L3" s="69">
        <f>+F9</f>
        <v>33.629729093048553</v>
      </c>
      <c r="M3" s="69">
        <f>+F10</f>
        <v>26.669184114182531</v>
      </c>
      <c r="N3" s="69">
        <f>+F11</f>
        <v>21.149857150879864</v>
      </c>
      <c r="O3" s="69">
        <f>+F12</f>
        <v>16.772562184629599</v>
      </c>
      <c r="P3" s="69">
        <f>+F13</f>
        <v>13.30126303414702</v>
      </c>
      <c r="Q3" s="69">
        <f>+F14</f>
        <v>10.548493483049675</v>
      </c>
      <c r="R3" s="69">
        <f>+F15</f>
        <v>8.3653425657741831</v>
      </c>
      <c r="S3" s="69">
        <f>+F16</f>
        <v>6.6339281755161883</v>
      </c>
      <c r="T3" s="69">
        <f>+F17</f>
        <v>5.2608023664496342</v>
      </c>
      <c r="U3" s="69">
        <f>+F18</f>
        <v>4.1721159713940024</v>
      </c>
      <c r="V3" s="69">
        <f>+F19</f>
        <v>3.3086910215911223</v>
      </c>
      <c r="W3" s="69">
        <f>+F20</f>
        <v>2.6238996847171494</v>
      </c>
      <c r="X3" s="69">
        <f>+F21</f>
        <v>2.0808396196578105</v>
      </c>
      <c r="Y3" s="69">
        <f>+F22</f>
        <v>1.6501610075557496</v>
      </c>
      <c r="Z3" s="69">
        <f>+F23</f>
        <v>1.3086026481737705</v>
      </c>
      <c r="AA3" s="69">
        <f>+F24</f>
        <v>1.037786059554759</v>
      </c>
      <c r="AB3" s="69">
        <f>+F25</f>
        <v>0.82306718663688616</v>
      </c>
      <c r="AC3" s="69">
        <f>+F26</f>
        <v>0.65267730918053857</v>
      </c>
      <c r="AD3" s="69">
        <f>+F27</f>
        <v>0.51759250073958207</v>
      </c>
      <c r="AE3" s="69">
        <f>+F28</f>
        <v>0.41043683583413909</v>
      </c>
      <c r="AF3" s="70">
        <f>+F29</f>
        <v>0.3255306055438395</v>
      </c>
      <c r="AG3" s="71">
        <f>+F30</f>
        <v>0.25813908416453157</v>
      </c>
      <c r="AH3" s="72">
        <f>+F31</f>
        <v>0.20476300871901437</v>
      </c>
      <c r="AI3" s="72">
        <f>+F32</f>
        <v>0.16238271176458394</v>
      </c>
      <c r="AJ3" s="72">
        <f>+F33</f>
        <v>0.12876132435401288</v>
      </c>
      <c r="AK3" s="72">
        <f>+F34</f>
        <v>0.10212717672623581</v>
      </c>
      <c r="AL3" s="72">
        <f>+F35</f>
        <v>8.097864257070822E-2</v>
      </c>
      <c r="AM3" s="73">
        <f>+F36</f>
        <v>6.4197511252292977E-2</v>
      </c>
      <c r="AN3" s="73">
        <f>+F37</f>
        <v>5.0910420013292143E-2</v>
      </c>
      <c r="AO3" s="73">
        <f>+F38</f>
        <v>4.0399499224397159E-2</v>
      </c>
      <c r="AP3" s="73">
        <f>+F39</f>
        <v>3.2015664427449853E-2</v>
      </c>
      <c r="AQ3" s="73">
        <f>+F40</f>
        <v>2.5390383242239242E-2</v>
      </c>
      <c r="AR3" s="73">
        <f>+F41</f>
        <v>2.0131333578185025E-2</v>
      </c>
      <c r="AS3" s="73">
        <f>+F42</f>
        <v>1.5970883157127896E-2</v>
      </c>
      <c r="AT3" s="73">
        <f>+F43</f>
        <v>1.2667686977437444E-2</v>
      </c>
      <c r="AU3" s="73">
        <f>+F44</f>
        <v>1.0046507000896435E-2</v>
      </c>
      <c r="AV3" s="73">
        <f>+F45</f>
        <v>7.9643222219501902E-3</v>
      </c>
      <c r="AW3" s="73">
        <f>+F46</f>
        <v>6.3193843085305752E-3</v>
      </c>
      <c r="AX3" s="73">
        <f>+F47</f>
        <v>5.0139897291109434E-3</v>
      </c>
    </row>
    <row r="4" spans="1:50" hidden="1">
      <c r="A4" s="81" t="s">
        <v>12</v>
      </c>
      <c r="B4" s="11">
        <v>11.683999999999999</v>
      </c>
      <c r="C4" s="11">
        <f>+PI()*(Cond_Dia_Area[[#This Row],[Dia '[mm']]]/2)^2</f>
        <v>107.2193025770305</v>
      </c>
      <c r="E4" s="49" t="s">
        <v>12</v>
      </c>
      <c r="F4" s="75">
        <f t="shared" ref="F4:F47" si="0">+C4</f>
        <v>107.2193025770305</v>
      </c>
      <c r="G4" s="38">
        <f t="dataTable" ref="G4:AX47" dt2D="1" dtr="1" r1="E3" r2="F2"/>
        <v>1</v>
      </c>
      <c r="H4" s="38" t="str">
        <v/>
      </c>
      <c r="I4" s="38" t="str">
        <v/>
      </c>
      <c r="J4" s="38" t="str">
        <v/>
      </c>
      <c r="K4" s="38" t="str">
        <v/>
      </c>
      <c r="L4" s="38" t="str">
        <v/>
      </c>
      <c r="M4" s="38" t="str">
        <v/>
      </c>
      <c r="N4" s="38" t="str">
        <v/>
      </c>
      <c r="O4" s="38" t="str">
        <v/>
      </c>
      <c r="P4" s="38" t="str">
        <v/>
      </c>
      <c r="Q4" s="38" t="str">
        <v/>
      </c>
      <c r="R4" s="38" t="str">
        <v/>
      </c>
      <c r="S4" s="38" t="str">
        <v/>
      </c>
      <c r="T4" s="38" t="str">
        <v/>
      </c>
      <c r="U4" s="38" t="str">
        <v/>
      </c>
      <c r="V4" s="38" t="str">
        <v/>
      </c>
      <c r="W4" s="38" t="str">
        <v/>
      </c>
      <c r="X4" s="38" t="str">
        <v/>
      </c>
      <c r="Y4" s="38" t="str">
        <v/>
      </c>
      <c r="Z4" s="38" t="str">
        <v/>
      </c>
      <c r="AA4" s="14" t="str">
        <v/>
      </c>
      <c r="AB4" s="14" t="str">
        <v/>
      </c>
      <c r="AC4" s="14" t="str">
        <v/>
      </c>
      <c r="AD4" s="14" t="str">
        <v/>
      </c>
      <c r="AE4" s="14" t="str">
        <v/>
      </c>
      <c r="AF4" s="55" t="str">
        <v/>
      </c>
      <c r="AG4" s="14" t="str">
        <v/>
      </c>
      <c r="AH4" s="14" t="str">
        <v/>
      </c>
      <c r="AI4" s="14" t="str">
        <v/>
      </c>
      <c r="AJ4" s="14" t="str">
        <v/>
      </c>
      <c r="AK4" s="14" t="str">
        <v/>
      </c>
      <c r="AL4" s="14" t="str">
        <v/>
      </c>
      <c r="AM4" s="14" t="str">
        <v/>
      </c>
      <c r="AN4" s="14" t="str">
        <v/>
      </c>
      <c r="AO4" s="14" t="str">
        <v/>
      </c>
      <c r="AP4" s="14" t="str">
        <v/>
      </c>
      <c r="AQ4" s="14" t="str">
        <v/>
      </c>
      <c r="AR4" s="14" t="str">
        <v/>
      </c>
      <c r="AS4" s="14" t="str">
        <v/>
      </c>
      <c r="AT4" s="14" t="str">
        <v/>
      </c>
      <c r="AU4" s="14" t="str">
        <v/>
      </c>
      <c r="AV4" s="14" t="str">
        <v/>
      </c>
      <c r="AW4" s="14" t="str">
        <v/>
      </c>
      <c r="AX4" s="14" t="str">
        <v/>
      </c>
    </row>
    <row r="5" spans="1:50" hidden="1">
      <c r="A5" s="81" t="s">
        <v>13</v>
      </c>
      <c r="B5" s="11">
        <v>10.404999999999999</v>
      </c>
      <c r="C5" s="11">
        <f>+PI()*(Cond_Dia_Area[[#This Row],[Dia '[mm']]]/2)^2</f>
        <v>85.030366397015413</v>
      </c>
      <c r="E5" s="46" t="s">
        <v>13</v>
      </c>
      <c r="F5" s="76">
        <f t="shared" si="0"/>
        <v>85.030366397015413</v>
      </c>
      <c r="G5" s="38">
        <v>1.2609530820602688</v>
      </c>
      <c r="H5" s="38">
        <v>1</v>
      </c>
      <c r="I5" s="38" t="str">
        <v/>
      </c>
      <c r="J5" s="38" t="str">
        <v/>
      </c>
      <c r="K5" s="38" t="str">
        <v/>
      </c>
      <c r="L5" s="38" t="str">
        <v/>
      </c>
      <c r="M5" s="38" t="str">
        <v/>
      </c>
      <c r="N5" s="38" t="str">
        <v/>
      </c>
      <c r="O5" s="38" t="str">
        <v/>
      </c>
      <c r="P5" s="38" t="str">
        <v/>
      </c>
      <c r="Q5" s="38" t="str">
        <v/>
      </c>
      <c r="R5" s="38" t="str">
        <v/>
      </c>
      <c r="S5" s="38" t="str">
        <v/>
      </c>
      <c r="T5" s="38" t="str">
        <v/>
      </c>
      <c r="U5" s="38" t="str">
        <v/>
      </c>
      <c r="V5" s="38" t="str">
        <v/>
      </c>
      <c r="W5" s="38" t="str">
        <v/>
      </c>
      <c r="X5" s="38" t="str">
        <v/>
      </c>
      <c r="Y5" s="38" t="str">
        <v/>
      </c>
      <c r="Z5" s="38" t="str">
        <v/>
      </c>
      <c r="AA5" s="14" t="str">
        <v/>
      </c>
      <c r="AB5" s="14" t="str">
        <v/>
      </c>
      <c r="AC5" s="14" t="str">
        <v/>
      </c>
      <c r="AD5" s="14" t="str">
        <v/>
      </c>
      <c r="AE5" s="14" t="str">
        <v/>
      </c>
      <c r="AF5" s="55" t="str">
        <v/>
      </c>
      <c r="AG5" s="14" t="str">
        <v/>
      </c>
      <c r="AH5" s="14" t="str">
        <v/>
      </c>
      <c r="AI5" s="14" t="str">
        <v/>
      </c>
      <c r="AJ5" s="14" t="str">
        <v/>
      </c>
      <c r="AK5" s="14" t="str">
        <v/>
      </c>
      <c r="AL5" s="14" t="str">
        <v/>
      </c>
      <c r="AM5" s="14" t="str">
        <v/>
      </c>
      <c r="AN5" s="14" t="str">
        <v/>
      </c>
      <c r="AO5" s="14" t="str">
        <v/>
      </c>
      <c r="AP5" s="14" t="str">
        <v/>
      </c>
      <c r="AQ5" s="14" t="str">
        <v/>
      </c>
      <c r="AR5" s="14" t="str">
        <v/>
      </c>
      <c r="AS5" s="14" t="str">
        <v/>
      </c>
      <c r="AT5" s="14" t="str">
        <v/>
      </c>
      <c r="AU5" s="14" t="str">
        <v/>
      </c>
      <c r="AV5" s="14" t="str">
        <v/>
      </c>
      <c r="AW5" s="14" t="str">
        <v/>
      </c>
      <c r="AX5" s="14" t="str">
        <v/>
      </c>
    </row>
    <row r="6" spans="1:50" hidden="1">
      <c r="A6" s="81" t="s">
        <v>14</v>
      </c>
      <c r="B6" s="11">
        <v>9.2657000000000007</v>
      </c>
      <c r="C6" s="11">
        <f>+PI()*(Cond_Dia_Area[[#This Row],[Dia '[mm']]]/2)^2</f>
        <v>67.428942845046265</v>
      </c>
      <c r="E6" s="45" t="s">
        <v>14</v>
      </c>
      <c r="F6" s="77">
        <f t="shared" si="0"/>
        <v>67.428942845046265</v>
      </c>
      <c r="G6" s="38">
        <v>1.5901080167224879</v>
      </c>
      <c r="H6" s="38">
        <v>1.2610366232853116</v>
      </c>
      <c r="I6" s="38">
        <v>1</v>
      </c>
      <c r="J6" s="38" t="str">
        <v/>
      </c>
      <c r="K6" s="38" t="str">
        <v/>
      </c>
      <c r="L6" s="38" t="str">
        <v/>
      </c>
      <c r="M6" s="38" t="str">
        <v/>
      </c>
      <c r="N6" s="38" t="str">
        <v/>
      </c>
      <c r="O6" s="38" t="str">
        <v/>
      </c>
      <c r="P6" s="38" t="str">
        <v/>
      </c>
      <c r="Q6" s="38" t="str">
        <v/>
      </c>
      <c r="R6" s="38" t="str">
        <v/>
      </c>
      <c r="S6" s="38" t="str">
        <v/>
      </c>
      <c r="T6" s="38" t="str">
        <v/>
      </c>
      <c r="U6" s="38" t="str">
        <v/>
      </c>
      <c r="V6" s="38" t="str">
        <v/>
      </c>
      <c r="W6" s="38" t="str">
        <v/>
      </c>
      <c r="X6" s="38" t="str">
        <v/>
      </c>
      <c r="Y6" s="38" t="str">
        <v/>
      </c>
      <c r="Z6" s="38" t="str">
        <v/>
      </c>
      <c r="AA6" s="14" t="str">
        <v/>
      </c>
      <c r="AB6" s="14" t="str">
        <v/>
      </c>
      <c r="AC6" s="14" t="str">
        <v/>
      </c>
      <c r="AD6" s="14" t="str">
        <v/>
      </c>
      <c r="AE6" s="14" t="str">
        <v/>
      </c>
      <c r="AF6" s="55" t="str">
        <v/>
      </c>
      <c r="AG6" s="14" t="str">
        <v/>
      </c>
      <c r="AH6" s="14" t="str">
        <v/>
      </c>
      <c r="AI6" s="14" t="str">
        <v/>
      </c>
      <c r="AJ6" s="14" t="str">
        <v/>
      </c>
      <c r="AK6" s="14" t="str">
        <v/>
      </c>
      <c r="AL6" s="14" t="str">
        <v/>
      </c>
      <c r="AM6" s="14" t="str">
        <v/>
      </c>
      <c r="AN6" s="14" t="str">
        <v/>
      </c>
      <c r="AO6" s="14" t="str">
        <v/>
      </c>
      <c r="AP6" s="14" t="str">
        <v/>
      </c>
      <c r="AQ6" s="14" t="str">
        <v/>
      </c>
      <c r="AR6" s="14" t="str">
        <v/>
      </c>
      <c r="AS6" s="14" t="str">
        <v/>
      </c>
      <c r="AT6" s="14" t="str">
        <v/>
      </c>
      <c r="AU6" s="14" t="str">
        <v/>
      </c>
      <c r="AV6" s="14" t="str">
        <v/>
      </c>
      <c r="AW6" s="14" t="str">
        <v/>
      </c>
      <c r="AX6" s="14" t="str">
        <v/>
      </c>
    </row>
    <row r="7" spans="1:50" hidden="1">
      <c r="A7" s="15">
        <v>0</v>
      </c>
      <c r="B7" s="11">
        <v>8.2513000000000005</v>
      </c>
      <c r="C7" s="11">
        <f>+PI()*(Cond_Dia_Area[[#This Row],[Dia '[mm']]]/2)^2</f>
        <v>53.473010614166597</v>
      </c>
      <c r="E7" s="44">
        <v>0</v>
      </c>
      <c r="F7" s="76">
        <f t="shared" si="0"/>
        <v>53.473010614166597</v>
      </c>
      <c r="G7" s="38">
        <v>2.0051106407804333</v>
      </c>
      <c r="H7" s="38">
        <v>1.5901548355029094</v>
      </c>
      <c r="I7" s="38">
        <v>1.2609902092773195</v>
      </c>
      <c r="J7" s="38">
        <v>1</v>
      </c>
      <c r="K7" s="38" t="str">
        <v/>
      </c>
      <c r="L7" s="38" t="str">
        <v/>
      </c>
      <c r="M7" s="38" t="str">
        <v/>
      </c>
      <c r="N7" s="38" t="str">
        <v/>
      </c>
      <c r="O7" s="38" t="str">
        <v/>
      </c>
      <c r="P7" s="38" t="str">
        <v/>
      </c>
      <c r="Q7" s="38" t="str">
        <v/>
      </c>
      <c r="R7" s="38" t="str">
        <v/>
      </c>
      <c r="S7" s="38" t="str">
        <v/>
      </c>
      <c r="T7" s="38" t="str">
        <v/>
      </c>
      <c r="U7" s="38" t="str">
        <v/>
      </c>
      <c r="V7" s="38" t="str">
        <v/>
      </c>
      <c r="W7" s="38" t="str">
        <v/>
      </c>
      <c r="X7" s="38" t="str">
        <v/>
      </c>
      <c r="Y7" s="38" t="str">
        <v/>
      </c>
      <c r="Z7" s="38" t="str">
        <v/>
      </c>
      <c r="AA7" s="14" t="str">
        <v/>
      </c>
      <c r="AB7" s="14" t="str">
        <v/>
      </c>
      <c r="AC7" s="14" t="str">
        <v/>
      </c>
      <c r="AD7" s="14" t="str">
        <v/>
      </c>
      <c r="AE7" s="14" t="str">
        <v/>
      </c>
      <c r="AF7" s="55" t="str">
        <v/>
      </c>
      <c r="AG7" s="14" t="str">
        <v/>
      </c>
      <c r="AH7" s="14" t="str">
        <v/>
      </c>
      <c r="AI7" s="14" t="str">
        <v/>
      </c>
      <c r="AJ7" s="14" t="str">
        <v/>
      </c>
      <c r="AK7" s="14" t="str">
        <v/>
      </c>
      <c r="AL7" s="14" t="str">
        <v/>
      </c>
      <c r="AM7" s="14" t="str">
        <v/>
      </c>
      <c r="AN7" s="14" t="str">
        <v/>
      </c>
      <c r="AO7" s="14" t="str">
        <v/>
      </c>
      <c r="AP7" s="14" t="str">
        <v/>
      </c>
      <c r="AQ7" s="14" t="str">
        <v/>
      </c>
      <c r="AR7" s="14" t="str">
        <v/>
      </c>
      <c r="AS7" s="14" t="str">
        <v/>
      </c>
      <c r="AT7" s="14" t="str">
        <v/>
      </c>
      <c r="AU7" s="14" t="str">
        <v/>
      </c>
      <c r="AV7" s="14" t="str">
        <v/>
      </c>
      <c r="AW7" s="14" t="str">
        <v/>
      </c>
      <c r="AX7" s="14" t="str">
        <v/>
      </c>
    </row>
    <row r="8" spans="1:50" hidden="1">
      <c r="A8" s="15">
        <v>1</v>
      </c>
      <c r="B8" s="11">
        <v>7.3479999999999999</v>
      </c>
      <c r="C8" s="11">
        <f>+PI()*(Cond_Dia_Area[[#This Row],[Dia '[mm']]]/2)^2</f>
        <v>42.406084717727417</v>
      </c>
      <c r="E8" s="47">
        <v>1</v>
      </c>
      <c r="F8" s="77">
        <f t="shared" si="0"/>
        <v>42.406084717727417</v>
      </c>
      <c r="G8" s="38">
        <v>2.5283942927230112</v>
      </c>
      <c r="H8" s="38">
        <v>2.0051454163479838</v>
      </c>
      <c r="I8" s="38">
        <v>1.5900770678048075</v>
      </c>
      <c r="J8" s="38">
        <v>1.2609749513567512</v>
      </c>
      <c r="K8" s="38">
        <v>1</v>
      </c>
      <c r="L8" s="38" t="str">
        <v/>
      </c>
      <c r="M8" s="38" t="str">
        <v/>
      </c>
      <c r="N8" s="38" t="str">
        <v/>
      </c>
      <c r="O8" s="38" t="str">
        <v/>
      </c>
      <c r="P8" s="38" t="str">
        <v/>
      </c>
      <c r="Q8" s="38" t="str">
        <v/>
      </c>
      <c r="R8" s="38" t="str">
        <v/>
      </c>
      <c r="S8" s="38" t="str">
        <v/>
      </c>
      <c r="T8" s="38" t="str">
        <v/>
      </c>
      <c r="U8" s="38" t="str">
        <v/>
      </c>
      <c r="V8" s="38" t="str">
        <v/>
      </c>
      <c r="W8" s="38" t="str">
        <v/>
      </c>
      <c r="X8" s="38" t="str">
        <v/>
      </c>
      <c r="Y8" s="38" t="str">
        <v/>
      </c>
      <c r="Z8" s="38" t="str">
        <v/>
      </c>
      <c r="AA8" s="14" t="str">
        <v/>
      </c>
      <c r="AB8" s="14" t="str">
        <v/>
      </c>
      <c r="AC8" s="14" t="str">
        <v/>
      </c>
      <c r="AD8" s="14" t="str">
        <v/>
      </c>
      <c r="AE8" s="14" t="str">
        <v/>
      </c>
      <c r="AF8" s="55" t="str">
        <v/>
      </c>
      <c r="AG8" s="14" t="str">
        <v/>
      </c>
      <c r="AH8" s="14" t="str">
        <v/>
      </c>
      <c r="AI8" s="14" t="str">
        <v/>
      </c>
      <c r="AJ8" s="14" t="str">
        <v/>
      </c>
      <c r="AK8" s="14" t="str">
        <v/>
      </c>
      <c r="AL8" s="14" t="str">
        <v/>
      </c>
      <c r="AM8" s="14" t="str">
        <v/>
      </c>
      <c r="AN8" s="14" t="str">
        <v/>
      </c>
      <c r="AO8" s="14" t="str">
        <v/>
      </c>
      <c r="AP8" s="14" t="str">
        <v/>
      </c>
      <c r="AQ8" s="14" t="str">
        <v/>
      </c>
      <c r="AR8" s="14" t="str">
        <v/>
      </c>
      <c r="AS8" s="14" t="str">
        <v/>
      </c>
      <c r="AT8" s="14" t="str">
        <v/>
      </c>
      <c r="AU8" s="14" t="str">
        <v/>
      </c>
      <c r="AV8" s="14" t="str">
        <v/>
      </c>
      <c r="AW8" s="14" t="str">
        <v/>
      </c>
      <c r="AX8" s="14" t="str">
        <v/>
      </c>
    </row>
    <row r="9" spans="1:50" hidden="1">
      <c r="A9" s="15">
        <v>2</v>
      </c>
      <c r="B9" s="11">
        <v>6.5435999999999996</v>
      </c>
      <c r="C9" s="11">
        <f>+PI()*(Cond_Dia_Area[[#This Row],[Dia '[mm']]]/2)^2</f>
        <v>33.629729093048553</v>
      </c>
      <c r="E9" s="44">
        <v>2</v>
      </c>
      <c r="F9" s="76">
        <f t="shared" si="0"/>
        <v>33.629729093048553</v>
      </c>
      <c r="G9" s="38">
        <v>3.1882297439973524</v>
      </c>
      <c r="H9" s="38">
        <v>2.5284285270853295</v>
      </c>
      <c r="I9" s="38">
        <v>2.0050397271557028</v>
      </c>
      <c r="J9" s="38">
        <v>1.5900517802630696</v>
      </c>
      <c r="K9" s="38">
        <v>1.2609701553169212</v>
      </c>
      <c r="L9" s="38">
        <v>1</v>
      </c>
      <c r="M9" s="38" t="str">
        <v/>
      </c>
      <c r="N9" s="38" t="str">
        <v/>
      </c>
      <c r="O9" s="38" t="str">
        <v/>
      </c>
      <c r="P9" s="38" t="str">
        <v/>
      </c>
      <c r="Q9" s="38" t="str">
        <v/>
      </c>
      <c r="R9" s="38" t="str">
        <v/>
      </c>
      <c r="S9" s="38" t="str">
        <v/>
      </c>
      <c r="T9" s="38" t="str">
        <v/>
      </c>
      <c r="U9" s="38" t="str">
        <v/>
      </c>
      <c r="V9" s="38" t="str">
        <v/>
      </c>
      <c r="W9" s="38" t="str">
        <v/>
      </c>
      <c r="X9" s="38" t="str">
        <v/>
      </c>
      <c r="Y9" s="38" t="str">
        <v/>
      </c>
      <c r="Z9" s="38" t="str">
        <v/>
      </c>
      <c r="AA9" s="14" t="str">
        <v/>
      </c>
      <c r="AB9" s="14" t="str">
        <v/>
      </c>
      <c r="AC9" s="14" t="str">
        <v/>
      </c>
      <c r="AD9" s="14" t="str">
        <v/>
      </c>
      <c r="AE9" s="14" t="str">
        <v/>
      </c>
      <c r="AF9" s="55" t="str">
        <v/>
      </c>
      <c r="AG9" s="14" t="str">
        <v/>
      </c>
      <c r="AH9" s="14" t="str">
        <v/>
      </c>
      <c r="AI9" s="14" t="str">
        <v/>
      </c>
      <c r="AJ9" s="14" t="str">
        <v/>
      </c>
      <c r="AK9" s="14" t="str">
        <v/>
      </c>
      <c r="AL9" s="14" t="str">
        <v/>
      </c>
      <c r="AM9" s="14" t="str">
        <v/>
      </c>
      <c r="AN9" s="14" t="str">
        <v/>
      </c>
      <c r="AO9" s="14" t="str">
        <v/>
      </c>
      <c r="AP9" s="14" t="str">
        <v/>
      </c>
      <c r="AQ9" s="14" t="str">
        <v/>
      </c>
      <c r="AR9" s="14" t="str">
        <v/>
      </c>
      <c r="AS9" s="14" t="str">
        <v/>
      </c>
      <c r="AT9" s="14" t="str">
        <v/>
      </c>
      <c r="AU9" s="14" t="str">
        <v/>
      </c>
      <c r="AV9" s="14" t="str">
        <v/>
      </c>
      <c r="AW9" s="14" t="str">
        <v/>
      </c>
      <c r="AX9" s="14" t="str">
        <v/>
      </c>
    </row>
    <row r="10" spans="1:50" hidden="1">
      <c r="A10" s="15">
        <v>3</v>
      </c>
      <c r="B10" s="11">
        <v>5.8272000000000004</v>
      </c>
      <c r="C10" s="11">
        <f>+PI()*(Cond_Dia_Area[[#This Row],[Dia '[mm']]]/2)^2</f>
        <v>26.669184114182531</v>
      </c>
      <c r="E10" s="47">
        <v>3</v>
      </c>
      <c r="F10" s="77">
        <f t="shared" si="0"/>
        <v>26.669184114182531</v>
      </c>
      <c r="G10" s="38">
        <v>4.0203443089213913</v>
      </c>
      <c r="H10" s="38">
        <v>3.188337747152779</v>
      </c>
      <c r="I10" s="38">
        <v>2.5283466699376045</v>
      </c>
      <c r="J10" s="38">
        <v>2.0050486128568865</v>
      </c>
      <c r="K10" s="38">
        <v>1.5900780667368104</v>
      </c>
      <c r="L10" s="38">
        <v>1.2609957975866402</v>
      </c>
      <c r="M10" s="38">
        <v>1</v>
      </c>
      <c r="N10" s="38" t="str">
        <v/>
      </c>
      <c r="O10" s="38" t="str">
        <v/>
      </c>
      <c r="P10" s="38" t="str">
        <v/>
      </c>
      <c r="Q10" s="38" t="str">
        <v/>
      </c>
      <c r="R10" s="38" t="str">
        <v/>
      </c>
      <c r="S10" s="38" t="str">
        <v/>
      </c>
      <c r="T10" s="38" t="str">
        <v/>
      </c>
      <c r="U10" s="38" t="str">
        <v/>
      </c>
      <c r="V10" s="38" t="str">
        <v/>
      </c>
      <c r="W10" s="38" t="str">
        <v/>
      </c>
      <c r="X10" s="38" t="str">
        <v/>
      </c>
      <c r="Y10" s="38" t="str">
        <v/>
      </c>
      <c r="Z10" s="38" t="str">
        <v/>
      </c>
      <c r="AA10" s="14" t="str">
        <v/>
      </c>
      <c r="AB10" s="14" t="str">
        <v/>
      </c>
      <c r="AC10" s="14" t="str">
        <v/>
      </c>
      <c r="AD10" s="14" t="str">
        <v/>
      </c>
      <c r="AE10" s="14" t="str">
        <v/>
      </c>
      <c r="AF10" s="55" t="str">
        <v/>
      </c>
      <c r="AG10" s="14" t="str">
        <v/>
      </c>
      <c r="AH10" s="14" t="str">
        <v/>
      </c>
      <c r="AI10" s="14" t="str">
        <v/>
      </c>
      <c r="AJ10" s="14" t="str">
        <v/>
      </c>
      <c r="AK10" s="14" t="str">
        <v/>
      </c>
      <c r="AL10" s="14" t="str">
        <v/>
      </c>
      <c r="AM10" s="14" t="str">
        <v/>
      </c>
      <c r="AN10" s="14" t="str">
        <v/>
      </c>
      <c r="AO10" s="14" t="str">
        <v/>
      </c>
      <c r="AP10" s="14" t="str">
        <v/>
      </c>
      <c r="AQ10" s="14" t="str">
        <v/>
      </c>
      <c r="AR10" s="14" t="str">
        <v/>
      </c>
      <c r="AS10" s="14" t="str">
        <v/>
      </c>
      <c r="AT10" s="14" t="str">
        <v/>
      </c>
      <c r="AU10" s="14" t="str">
        <v/>
      </c>
      <c r="AV10" s="14" t="str">
        <v/>
      </c>
      <c r="AW10" s="14" t="str">
        <v/>
      </c>
      <c r="AX10" s="14" t="str">
        <v/>
      </c>
    </row>
    <row r="11" spans="1:50">
      <c r="A11" s="15">
        <v>4</v>
      </c>
      <c r="B11" s="11">
        <v>5.1893000000000002</v>
      </c>
      <c r="C11" s="11">
        <f>+PI()*(Cond_Dia_Area[[#This Row],[Dia '[mm']]]/2)^2</f>
        <v>21.149857150879864</v>
      </c>
      <c r="E11" s="44">
        <v>4</v>
      </c>
      <c r="F11" s="76">
        <f t="shared" si="0"/>
        <v>21.149857150879864</v>
      </c>
      <c r="G11" s="38">
        <v>5.0695048109376959</v>
      </c>
      <c r="H11" s="38">
        <v>4.0203754470028672</v>
      </c>
      <c r="I11" s="38">
        <v>3.1881512184228216</v>
      </c>
      <c r="J11" s="38">
        <v>2.5282918098547085</v>
      </c>
      <c r="K11" s="38">
        <v>2.0050293680571389</v>
      </c>
      <c r="L11" s="38">
        <v>1.5900688526234092</v>
      </c>
      <c r="M11" s="38">
        <v>1.2609628483033539</v>
      </c>
      <c r="N11" s="38">
        <v>1</v>
      </c>
      <c r="O11" s="38" t="str">
        <v/>
      </c>
      <c r="P11" s="38" t="str">
        <v/>
      </c>
      <c r="Q11" s="38" t="str">
        <v/>
      </c>
      <c r="R11" s="38" t="str">
        <v/>
      </c>
      <c r="S11" s="38" t="str">
        <v/>
      </c>
      <c r="T11" s="38" t="str">
        <v/>
      </c>
      <c r="U11" s="38" t="str">
        <v/>
      </c>
      <c r="V11" s="38" t="str">
        <v/>
      </c>
      <c r="W11" s="38" t="str">
        <v/>
      </c>
      <c r="X11" s="38" t="str">
        <v/>
      </c>
      <c r="Y11" s="38" t="str">
        <v/>
      </c>
      <c r="Z11" s="38" t="str">
        <v/>
      </c>
      <c r="AA11" s="14" t="str">
        <v/>
      </c>
      <c r="AB11" s="14" t="str">
        <v/>
      </c>
      <c r="AC11" s="14" t="str">
        <v/>
      </c>
      <c r="AD11" s="14" t="str">
        <v/>
      </c>
      <c r="AE11" s="14" t="str">
        <v/>
      </c>
      <c r="AF11" s="55" t="str">
        <v/>
      </c>
      <c r="AG11" s="14" t="str">
        <v/>
      </c>
      <c r="AH11" s="14" t="str">
        <v/>
      </c>
      <c r="AI11" s="14" t="str">
        <v/>
      </c>
      <c r="AJ11" s="14" t="str">
        <v/>
      </c>
      <c r="AK11" s="14" t="str">
        <v/>
      </c>
      <c r="AL11" s="14" t="str">
        <v/>
      </c>
      <c r="AM11" s="14" t="str">
        <v/>
      </c>
      <c r="AN11" s="14" t="str">
        <v/>
      </c>
      <c r="AO11" s="14" t="str">
        <v/>
      </c>
      <c r="AP11" s="14" t="str">
        <v/>
      </c>
      <c r="AQ11" s="14" t="str">
        <v/>
      </c>
      <c r="AR11" s="14" t="str">
        <v/>
      </c>
      <c r="AS11" s="14" t="str">
        <v/>
      </c>
      <c r="AT11" s="14" t="str">
        <v/>
      </c>
      <c r="AU11" s="14" t="str">
        <v/>
      </c>
      <c r="AV11" s="14" t="str">
        <v/>
      </c>
      <c r="AW11" s="14" t="str">
        <v/>
      </c>
      <c r="AX11" s="14" t="str">
        <v/>
      </c>
    </row>
    <row r="12" spans="1:50" hidden="1">
      <c r="A12" s="15">
        <v>5</v>
      </c>
      <c r="B12" s="11">
        <v>4.6212</v>
      </c>
      <c r="C12" s="11">
        <f>+PI()*(Cond_Dia_Area[[#This Row],[Dia '[mm']]]/2)^2</f>
        <v>16.772562184629599</v>
      </c>
      <c r="E12" s="47">
        <v>5</v>
      </c>
      <c r="F12" s="77">
        <f t="shared" si="0"/>
        <v>16.772562184629599</v>
      </c>
      <c r="G12" s="38">
        <v>6.3925416639853889</v>
      </c>
      <c r="H12" s="38">
        <v>5.0696110386126554</v>
      </c>
      <c r="I12" s="38">
        <v>4.0201933433186641</v>
      </c>
      <c r="J12" s="38">
        <v>3.1881241533371294</v>
      </c>
      <c r="K12" s="38">
        <v>2.5283009388147279</v>
      </c>
      <c r="L12" s="38">
        <v>2.0050442337227934</v>
      </c>
      <c r="M12" s="38">
        <v>1.5900483075043961</v>
      </c>
      <c r="N12" s="38">
        <v>1.2609795043873275</v>
      </c>
      <c r="O12" s="38">
        <v>1</v>
      </c>
      <c r="P12" s="38" t="str">
        <v/>
      </c>
      <c r="Q12" s="38" t="str">
        <v/>
      </c>
      <c r="R12" s="38" t="str">
        <v/>
      </c>
      <c r="S12" s="38" t="str">
        <v/>
      </c>
      <c r="T12" s="38" t="str">
        <v/>
      </c>
      <c r="U12" s="38" t="str">
        <v/>
      </c>
      <c r="V12" s="38" t="str">
        <v/>
      </c>
      <c r="W12" s="38" t="str">
        <v/>
      </c>
      <c r="X12" s="38" t="str">
        <v/>
      </c>
      <c r="Y12" s="38" t="str">
        <v/>
      </c>
      <c r="Z12" s="38" t="str">
        <v/>
      </c>
      <c r="AA12" s="14" t="str">
        <v/>
      </c>
      <c r="AB12" s="14" t="str">
        <v/>
      </c>
      <c r="AC12" s="14" t="str">
        <v/>
      </c>
      <c r="AD12" s="14" t="str">
        <v/>
      </c>
      <c r="AE12" s="14" t="str">
        <v/>
      </c>
      <c r="AF12" s="55" t="str">
        <v/>
      </c>
      <c r="AG12" s="14" t="str">
        <v/>
      </c>
      <c r="AH12" s="14" t="str">
        <v/>
      </c>
      <c r="AI12" s="14" t="str">
        <v/>
      </c>
      <c r="AJ12" s="14" t="str">
        <v/>
      </c>
      <c r="AK12" s="14" t="str">
        <v/>
      </c>
      <c r="AL12" s="14" t="str">
        <v/>
      </c>
      <c r="AM12" s="14" t="str">
        <v/>
      </c>
      <c r="AN12" s="14" t="str">
        <v/>
      </c>
      <c r="AO12" s="14" t="str">
        <v/>
      </c>
      <c r="AP12" s="14" t="str">
        <v/>
      </c>
      <c r="AQ12" s="14" t="str">
        <v/>
      </c>
      <c r="AR12" s="14" t="str">
        <v/>
      </c>
      <c r="AS12" s="14" t="str">
        <v/>
      </c>
      <c r="AT12" s="14" t="str">
        <v/>
      </c>
      <c r="AU12" s="14" t="str">
        <v/>
      </c>
      <c r="AV12" s="14" t="str">
        <v/>
      </c>
      <c r="AW12" s="14" t="str">
        <v/>
      </c>
      <c r="AX12" s="14" t="str">
        <v/>
      </c>
    </row>
    <row r="13" spans="1:50">
      <c r="A13" s="15">
        <v>6</v>
      </c>
      <c r="B13" s="11">
        <v>4.1153000000000004</v>
      </c>
      <c r="C13" s="11">
        <f>+PI()*(Cond_Dia_Area[[#This Row],[Dia '[mm']]]/2)^2</f>
        <v>13.30126303414702</v>
      </c>
      <c r="E13" s="44">
        <v>6</v>
      </c>
      <c r="F13" s="76">
        <f t="shared" si="0"/>
        <v>13.30126303414702</v>
      </c>
      <c r="G13" s="38">
        <v>8.0608362004252498</v>
      </c>
      <c r="H13" s="38">
        <v>6.3926535531795246</v>
      </c>
      <c r="I13" s="38">
        <v>5.0693639146855896</v>
      </c>
      <c r="J13" s="38">
        <v>4.0201453408515126</v>
      </c>
      <c r="K13" s="38">
        <v>3.1881246622115853</v>
      </c>
      <c r="L13" s="38">
        <v>2.528310958644624</v>
      </c>
      <c r="M13" s="38">
        <v>2.005011407241355</v>
      </c>
      <c r="N13" s="38">
        <v>1.5900638230056743</v>
      </c>
      <c r="O13" s="38">
        <v>1.2609751526280666</v>
      </c>
      <c r="P13" s="38">
        <v>1</v>
      </c>
      <c r="Q13" s="38" t="str">
        <v/>
      </c>
      <c r="R13" s="38" t="str">
        <v/>
      </c>
      <c r="S13" s="38" t="str">
        <v/>
      </c>
      <c r="T13" s="38" t="str">
        <v/>
      </c>
      <c r="U13" s="38" t="str">
        <v/>
      </c>
      <c r="V13" s="38" t="str">
        <v/>
      </c>
      <c r="W13" s="38" t="str">
        <v/>
      </c>
      <c r="X13" s="38" t="str">
        <v/>
      </c>
      <c r="Y13" s="38" t="str">
        <v/>
      </c>
      <c r="Z13" s="38" t="str">
        <v/>
      </c>
      <c r="AA13" s="14" t="str">
        <v/>
      </c>
      <c r="AB13" s="14" t="str">
        <v/>
      </c>
      <c r="AC13" s="14" t="str">
        <v/>
      </c>
      <c r="AD13" s="14" t="str">
        <v/>
      </c>
      <c r="AE13" s="14" t="str">
        <v/>
      </c>
      <c r="AF13" s="55" t="str">
        <v/>
      </c>
      <c r="AG13" s="14" t="str">
        <v/>
      </c>
      <c r="AH13" s="14" t="str">
        <v/>
      </c>
      <c r="AI13" s="14" t="str">
        <v/>
      </c>
      <c r="AJ13" s="14" t="str">
        <v/>
      </c>
      <c r="AK13" s="14" t="str">
        <v/>
      </c>
      <c r="AL13" s="14" t="str">
        <v/>
      </c>
      <c r="AM13" s="14" t="str">
        <v/>
      </c>
      <c r="AN13" s="14" t="str">
        <v/>
      </c>
      <c r="AO13" s="14" t="str">
        <v/>
      </c>
      <c r="AP13" s="14" t="str">
        <v/>
      </c>
      <c r="AQ13" s="14" t="str">
        <v/>
      </c>
      <c r="AR13" s="14" t="str">
        <v/>
      </c>
      <c r="AS13" s="14" t="str">
        <v/>
      </c>
      <c r="AT13" s="14" t="str">
        <v/>
      </c>
      <c r="AU13" s="14" t="str">
        <v/>
      </c>
      <c r="AV13" s="14" t="str">
        <v/>
      </c>
      <c r="AW13" s="14" t="str">
        <v/>
      </c>
      <c r="AX13" s="14" t="str">
        <v/>
      </c>
    </row>
    <row r="14" spans="1:50" hidden="1">
      <c r="A14" s="15">
        <v>7</v>
      </c>
      <c r="B14" s="11">
        <v>3.6648000000000001</v>
      </c>
      <c r="C14" s="11">
        <f>+PI()*(Cond_Dia_Area[[#This Row],[Dia '[mm']]]/2)^2</f>
        <v>10.548493483049675</v>
      </c>
      <c r="E14" s="47">
        <v>7</v>
      </c>
      <c r="F14" s="77">
        <f t="shared" si="0"/>
        <v>10.548493483049675</v>
      </c>
      <c r="G14" s="38">
        <v>10.164418525671055</v>
      </c>
      <c r="H14" s="38">
        <v>8.060901448500708</v>
      </c>
      <c r="I14" s="38">
        <v>6.392281793926073</v>
      </c>
      <c r="J14" s="38">
        <v>5.0692556904066093</v>
      </c>
      <c r="K14" s="38">
        <v>4.0201081591290313</v>
      </c>
      <c r="L14" s="38">
        <v>3.1881073014917254</v>
      </c>
      <c r="M14" s="38">
        <v>2.5282457781328791</v>
      </c>
      <c r="N14" s="38">
        <v>2.005012107640344</v>
      </c>
      <c r="O14" s="38">
        <v>1.5900433755380663</v>
      </c>
      <c r="P14" s="38">
        <v>1.2609632887881816</v>
      </c>
      <c r="Q14" s="38">
        <v>1</v>
      </c>
      <c r="R14" s="38" t="str">
        <v/>
      </c>
      <c r="S14" s="38" t="str">
        <v/>
      </c>
      <c r="T14" s="38" t="str">
        <v/>
      </c>
      <c r="U14" s="38" t="str">
        <v/>
      </c>
      <c r="V14" s="38" t="str">
        <v/>
      </c>
      <c r="W14" s="38" t="str">
        <v/>
      </c>
      <c r="X14" s="38" t="str">
        <v/>
      </c>
      <c r="Y14" s="38" t="str">
        <v/>
      </c>
      <c r="Z14" s="38" t="str">
        <v/>
      </c>
      <c r="AA14" s="14" t="str">
        <v/>
      </c>
      <c r="AB14" s="14" t="str">
        <v/>
      </c>
      <c r="AC14" s="14" t="str">
        <v/>
      </c>
      <c r="AD14" s="14" t="str">
        <v/>
      </c>
      <c r="AE14" s="14" t="str">
        <v/>
      </c>
      <c r="AF14" s="55" t="str">
        <v/>
      </c>
      <c r="AG14" s="14" t="str">
        <v/>
      </c>
      <c r="AH14" s="14" t="str">
        <v/>
      </c>
      <c r="AI14" s="14" t="str">
        <v/>
      </c>
      <c r="AJ14" s="14" t="str">
        <v/>
      </c>
      <c r="AK14" s="14" t="str">
        <v/>
      </c>
      <c r="AL14" s="14" t="str">
        <v/>
      </c>
      <c r="AM14" s="14" t="str">
        <v/>
      </c>
      <c r="AN14" s="14" t="str">
        <v/>
      </c>
      <c r="AO14" s="14" t="str">
        <v/>
      </c>
      <c r="AP14" s="14" t="str">
        <v/>
      </c>
      <c r="AQ14" s="14" t="str">
        <v/>
      </c>
      <c r="AR14" s="14" t="str">
        <v/>
      </c>
      <c r="AS14" s="14" t="str">
        <v/>
      </c>
      <c r="AT14" s="14" t="str">
        <v/>
      </c>
      <c r="AU14" s="14" t="str">
        <v/>
      </c>
      <c r="AV14" s="14" t="str">
        <v/>
      </c>
      <c r="AW14" s="14" t="str">
        <v/>
      </c>
      <c r="AX14" s="14" t="str">
        <v/>
      </c>
    </row>
    <row r="15" spans="1:50">
      <c r="A15" s="15">
        <v>8</v>
      </c>
      <c r="B15" s="11">
        <v>3.2635999999999998</v>
      </c>
      <c r="C15" s="11">
        <f>+PI()*(Cond_Dia_Area[[#This Row],[Dia '[mm']]]/2)^2</f>
        <v>8.3653425657741831</v>
      </c>
      <c r="E15" s="44">
        <v>8</v>
      </c>
      <c r="F15" s="76">
        <f t="shared" si="0"/>
        <v>8.3653425657741831</v>
      </c>
      <c r="G15" s="38">
        <v>12.817084504788326</v>
      </c>
      <c r="H15" s="38">
        <v>10.164600639895749</v>
      </c>
      <c r="I15" s="38">
        <v>8.060511845734073</v>
      </c>
      <c r="J15" s="38">
        <v>6.3922081126653607</v>
      </c>
      <c r="K15" s="38">
        <v>5.069258596919501</v>
      </c>
      <c r="L15" s="38">
        <v>4.0201257544001416</v>
      </c>
      <c r="M15" s="38">
        <v>3.1880564250048011</v>
      </c>
      <c r="N15" s="38">
        <v>2.5282714945126123</v>
      </c>
      <c r="O15" s="38">
        <v>2.0050060177155888</v>
      </c>
      <c r="P15" s="38">
        <v>1.5900440334108463</v>
      </c>
      <c r="Q15" s="38">
        <v>1.2609756743504561</v>
      </c>
      <c r="R15" s="38">
        <v>1</v>
      </c>
      <c r="S15" s="38" t="str">
        <v/>
      </c>
      <c r="T15" s="38" t="str">
        <v/>
      </c>
      <c r="U15" s="38" t="str">
        <v/>
      </c>
      <c r="V15" s="38" t="str">
        <v/>
      </c>
      <c r="W15" s="38" t="str">
        <v/>
      </c>
      <c r="X15" s="38" t="str">
        <v/>
      </c>
      <c r="Y15" s="38" t="str">
        <v/>
      </c>
      <c r="Z15" s="38" t="str">
        <v/>
      </c>
      <c r="AA15" s="14" t="str">
        <v/>
      </c>
      <c r="AB15" s="14" t="str">
        <v/>
      </c>
      <c r="AC15" s="14" t="str">
        <v/>
      </c>
      <c r="AD15" s="14" t="str">
        <v/>
      </c>
      <c r="AE15" s="14" t="str">
        <v/>
      </c>
      <c r="AF15" s="55" t="str">
        <v/>
      </c>
      <c r="AG15" s="14" t="str">
        <v/>
      </c>
      <c r="AH15" s="14" t="str">
        <v/>
      </c>
      <c r="AI15" s="14" t="str">
        <v/>
      </c>
      <c r="AJ15" s="14" t="str">
        <v/>
      </c>
      <c r="AK15" s="14" t="str">
        <v/>
      </c>
      <c r="AL15" s="14" t="str">
        <v/>
      </c>
      <c r="AM15" s="14" t="str">
        <v/>
      </c>
      <c r="AN15" s="14" t="str">
        <v/>
      </c>
      <c r="AO15" s="14" t="str">
        <v/>
      </c>
      <c r="AP15" s="14" t="str">
        <v/>
      </c>
      <c r="AQ15" s="14" t="str">
        <v/>
      </c>
      <c r="AR15" s="14" t="str">
        <v/>
      </c>
      <c r="AS15" s="14" t="str">
        <v/>
      </c>
      <c r="AT15" s="14" t="str">
        <v/>
      </c>
      <c r="AU15" s="14" t="str">
        <v/>
      </c>
      <c r="AV15" s="14" t="str">
        <v/>
      </c>
      <c r="AW15" s="14" t="str">
        <v/>
      </c>
      <c r="AX15" s="14" t="str">
        <v/>
      </c>
    </row>
    <row r="16" spans="1:50" hidden="1">
      <c r="A16" s="15">
        <v>9</v>
      </c>
      <c r="B16" s="11">
        <v>2.9062999999999999</v>
      </c>
      <c r="C16" s="11">
        <f>+PI()*(Cond_Dia_Area[[#This Row],[Dia '[mm']]]/2)^2</f>
        <v>6.6339281755161883</v>
      </c>
      <c r="E16" s="47">
        <v>9</v>
      </c>
      <c r="F16" s="77">
        <f t="shared" si="0"/>
        <v>6.6339281755161883</v>
      </c>
      <c r="G16" s="38">
        <v>16.162264610090947</v>
      </c>
      <c r="H16" s="38">
        <v>12.817498795183921</v>
      </c>
      <c r="I16" s="38">
        <v>10.164255786474444</v>
      </c>
      <c r="J16" s="38">
        <v>8.0605350554621946</v>
      </c>
      <c r="K16" s="38">
        <v>6.3923038651873529</v>
      </c>
      <c r="L16" s="38">
        <v>5.069353813200097</v>
      </c>
      <c r="M16" s="38">
        <v>4.0201195141982966</v>
      </c>
      <c r="N16" s="38">
        <v>3.1881347809790217</v>
      </c>
      <c r="O16" s="38">
        <v>2.5283002379392689</v>
      </c>
      <c r="P16" s="38">
        <v>2.0050357318063732</v>
      </c>
      <c r="Q16" s="38">
        <v>1.5900825580205944</v>
      </c>
      <c r="R16" s="38">
        <v>1.2609938402179448</v>
      </c>
      <c r="S16" s="38">
        <v>1</v>
      </c>
      <c r="T16" s="38" t="str">
        <v/>
      </c>
      <c r="U16" s="38" t="str">
        <v/>
      </c>
      <c r="V16" s="38" t="str">
        <v/>
      </c>
      <c r="W16" s="38" t="str">
        <v/>
      </c>
      <c r="X16" s="38" t="str">
        <v/>
      </c>
      <c r="Y16" s="38" t="str">
        <v/>
      </c>
      <c r="Z16" s="38" t="str">
        <v/>
      </c>
      <c r="AA16" s="14" t="str">
        <v/>
      </c>
      <c r="AB16" s="14" t="str">
        <v/>
      </c>
      <c r="AC16" s="14" t="str">
        <v/>
      </c>
      <c r="AD16" s="14" t="str">
        <v/>
      </c>
      <c r="AE16" s="14" t="str">
        <v/>
      </c>
      <c r="AF16" s="55" t="str">
        <v/>
      </c>
      <c r="AG16" s="14" t="str">
        <v/>
      </c>
      <c r="AH16" s="14" t="str">
        <v/>
      </c>
      <c r="AI16" s="14" t="str">
        <v/>
      </c>
      <c r="AJ16" s="14" t="str">
        <v/>
      </c>
      <c r="AK16" s="14" t="str">
        <v/>
      </c>
      <c r="AL16" s="14" t="str">
        <v/>
      </c>
      <c r="AM16" s="14" t="str">
        <v/>
      </c>
      <c r="AN16" s="14" t="str">
        <v/>
      </c>
      <c r="AO16" s="14" t="str">
        <v/>
      </c>
      <c r="AP16" s="14" t="str">
        <v/>
      </c>
      <c r="AQ16" s="14" t="str">
        <v/>
      </c>
      <c r="AR16" s="14" t="str">
        <v/>
      </c>
      <c r="AS16" s="14" t="str">
        <v/>
      </c>
      <c r="AT16" s="14" t="str">
        <v/>
      </c>
      <c r="AU16" s="14" t="str">
        <v/>
      </c>
      <c r="AV16" s="14" t="str">
        <v/>
      </c>
      <c r="AW16" s="14" t="str">
        <v/>
      </c>
      <c r="AX16" s="14" t="str">
        <v/>
      </c>
    </row>
    <row r="17" spans="1:50">
      <c r="A17" s="39">
        <v>10</v>
      </c>
      <c r="B17" s="11">
        <v>2.5880999999999998</v>
      </c>
      <c r="C17" s="11">
        <f>+PI()*(Cond_Dia_Area[[#This Row],[Dia '[mm']]]/2)^2</f>
        <v>5.2608023664496342</v>
      </c>
      <c r="E17" s="46">
        <v>10</v>
      </c>
      <c r="F17" s="76">
        <f t="shared" si="0"/>
        <v>5.2608023664496342</v>
      </c>
      <c r="G17" s="38">
        <v>20.380788919350675</v>
      </c>
      <c r="H17" s="38">
        <v>16.163003373646973</v>
      </c>
      <c r="I17" s="38">
        <v>12.817235499107362</v>
      </c>
      <c r="J17" s="38">
        <v>10.164421107165447</v>
      </c>
      <c r="K17" s="38">
        <v>8.0607636941788545</v>
      </c>
      <c r="L17" s="38">
        <v>6.3925094976993595</v>
      </c>
      <c r="M17" s="38">
        <v>5.0694137997396025</v>
      </c>
      <c r="N17" s="41">
        <v>4.0202721329661548</v>
      </c>
      <c r="O17" s="41">
        <v>3.1882137013158554</v>
      </c>
      <c r="P17" s="41">
        <v>2.5283715501222419</v>
      </c>
      <c r="Q17" s="41">
        <v>2.005111150025686</v>
      </c>
      <c r="R17" s="41">
        <v>1.5901267493193656</v>
      </c>
      <c r="S17" s="38">
        <v>1.2610107191677755</v>
      </c>
      <c r="T17" s="38">
        <v>1</v>
      </c>
      <c r="U17" s="38" t="str">
        <v/>
      </c>
      <c r="V17" s="38" t="str">
        <v/>
      </c>
      <c r="W17" s="38" t="str">
        <v/>
      </c>
      <c r="X17" s="38" t="str">
        <v/>
      </c>
      <c r="Y17" s="38" t="str">
        <v/>
      </c>
      <c r="Z17" s="38" t="str">
        <v/>
      </c>
      <c r="AA17" s="14" t="str">
        <v/>
      </c>
      <c r="AB17" s="14" t="str">
        <v/>
      </c>
      <c r="AC17" s="14" t="str">
        <v/>
      </c>
      <c r="AD17" s="14" t="str">
        <v/>
      </c>
      <c r="AE17" s="14" t="str">
        <v/>
      </c>
      <c r="AF17" s="55" t="str">
        <v/>
      </c>
      <c r="AG17" s="14" t="str">
        <v/>
      </c>
      <c r="AH17" s="14" t="str">
        <v/>
      </c>
      <c r="AI17" s="14" t="str">
        <v/>
      </c>
      <c r="AJ17" s="14" t="str">
        <v/>
      </c>
      <c r="AK17" s="14" t="str">
        <v/>
      </c>
      <c r="AL17" s="14" t="str">
        <v/>
      </c>
      <c r="AM17" s="14" t="str">
        <v/>
      </c>
      <c r="AN17" s="14" t="str">
        <v/>
      </c>
      <c r="AO17" s="14" t="str">
        <v/>
      </c>
      <c r="AP17" s="14" t="str">
        <v/>
      </c>
      <c r="AQ17" s="14" t="str">
        <v/>
      </c>
      <c r="AR17" s="14" t="str">
        <v/>
      </c>
      <c r="AS17" s="14" t="str">
        <v/>
      </c>
      <c r="AT17" s="14" t="str">
        <v/>
      </c>
      <c r="AU17" s="14" t="str">
        <v/>
      </c>
      <c r="AV17" s="14" t="str">
        <v/>
      </c>
      <c r="AW17" s="14" t="str">
        <v/>
      </c>
      <c r="AX17" s="14" t="str">
        <v/>
      </c>
    </row>
    <row r="18" spans="1:50" hidden="1">
      <c r="A18" s="39">
        <v>11</v>
      </c>
      <c r="B18" s="11">
        <v>2.3048000000000002</v>
      </c>
      <c r="C18" s="11">
        <f>+PI()*(Cond_Dia_Area[[#This Row],[Dia '[mm']]]/2)^2</f>
        <v>4.1721159713940024</v>
      </c>
      <c r="E18" s="46">
        <v>11</v>
      </c>
      <c r="F18" s="76">
        <f t="shared" si="0"/>
        <v>4.1721159713940024</v>
      </c>
      <c r="G18" s="38">
        <v>25.699022585224544</v>
      </c>
      <c r="H18" s="38">
        <v>20.380633467531528</v>
      </c>
      <c r="I18" s="38">
        <v>16.16180933305089</v>
      </c>
      <c r="J18" s="38">
        <v>12.816760363518851</v>
      </c>
      <c r="K18" s="38">
        <v>10.164167297477722</v>
      </c>
      <c r="L18" s="38">
        <v>8.060593071628368</v>
      </c>
      <c r="M18" s="38">
        <v>6.3922441986366278</v>
      </c>
      <c r="N18" s="38">
        <v>5.0693358707891329</v>
      </c>
      <c r="O18" s="38">
        <v>4.0201572294802466</v>
      </c>
      <c r="P18" s="38">
        <v>3.188133581460046</v>
      </c>
      <c r="Q18" s="38">
        <v>2.5283317998289427</v>
      </c>
      <c r="R18" s="38">
        <v>2.0050599319699938</v>
      </c>
      <c r="S18" s="38">
        <v>1.5900632247525077</v>
      </c>
      <c r="T18" s="38">
        <v>1.2609434643044872</v>
      </c>
      <c r="U18" s="38">
        <v>1</v>
      </c>
      <c r="V18" s="38" t="str">
        <v/>
      </c>
      <c r="W18" s="38" t="str">
        <v/>
      </c>
      <c r="X18" s="38" t="str">
        <v/>
      </c>
      <c r="Y18" s="38" t="str">
        <v/>
      </c>
      <c r="Z18" s="38" t="str">
        <v/>
      </c>
      <c r="AA18" s="14" t="str">
        <v/>
      </c>
      <c r="AB18" s="14" t="str">
        <v/>
      </c>
      <c r="AC18" s="14" t="str">
        <v/>
      </c>
      <c r="AD18" s="14" t="str">
        <v/>
      </c>
      <c r="AE18" s="14" t="str">
        <v/>
      </c>
      <c r="AF18" s="55" t="str">
        <v/>
      </c>
      <c r="AG18" s="14" t="str">
        <v/>
      </c>
      <c r="AH18" s="14" t="str">
        <v/>
      </c>
      <c r="AI18" s="14" t="str">
        <v/>
      </c>
      <c r="AJ18" s="14" t="str">
        <v/>
      </c>
      <c r="AK18" s="14" t="str">
        <v/>
      </c>
      <c r="AL18" s="14" t="str">
        <v/>
      </c>
      <c r="AM18" s="14" t="str">
        <v/>
      </c>
      <c r="AN18" s="14" t="str">
        <v/>
      </c>
      <c r="AO18" s="14" t="str">
        <v/>
      </c>
      <c r="AP18" s="14" t="str">
        <v/>
      </c>
      <c r="AQ18" s="14" t="str">
        <v/>
      </c>
      <c r="AR18" s="14" t="str">
        <v/>
      </c>
      <c r="AS18" s="14" t="str">
        <v/>
      </c>
      <c r="AT18" s="14" t="str">
        <v/>
      </c>
      <c r="AU18" s="14" t="str">
        <v/>
      </c>
      <c r="AV18" s="14" t="str">
        <v/>
      </c>
      <c r="AW18" s="14" t="str">
        <v/>
      </c>
      <c r="AX18" s="14" t="str">
        <v/>
      </c>
    </row>
    <row r="19" spans="1:50">
      <c r="A19" s="39">
        <v>12</v>
      </c>
      <c r="B19" s="11">
        <v>2.0525000000000002</v>
      </c>
      <c r="C19" s="11">
        <f>+PI()*(Cond_Dia_Area[[#This Row],[Dia '[mm']]]/2)^2</f>
        <v>3.3086910215911223</v>
      </c>
      <c r="E19" s="46">
        <v>12</v>
      </c>
      <c r="F19" s="76">
        <f t="shared" si="0"/>
        <v>3.3086910215911223</v>
      </c>
      <c r="G19" s="38">
        <v>32.405353620922156</v>
      </c>
      <c r="H19" s="38">
        <v>25.699095455617677</v>
      </c>
      <c r="I19" s="38">
        <v>20.379341076284675</v>
      </c>
      <c r="J19" s="38">
        <v>16.161379308380347</v>
      </c>
      <c r="K19" s="38">
        <v>12.816574422030703</v>
      </c>
      <c r="L19" s="38">
        <v>10.164058497331762</v>
      </c>
      <c r="M19" s="38">
        <v>8.0603428788456473</v>
      </c>
      <c r="N19" s="42">
        <v>6.3922128155408942</v>
      </c>
      <c r="O19" s="38">
        <v>5.0692440228413389</v>
      </c>
      <c r="P19" s="38">
        <v>4.0200982646456218</v>
      </c>
      <c r="Q19" s="38">
        <v>3.1881168154459441</v>
      </c>
      <c r="R19" s="42">
        <v>2.5282936699696301</v>
      </c>
      <c r="S19" s="38">
        <v>2.0050008091495912</v>
      </c>
      <c r="T19" s="41">
        <v>1.5899950560870919</v>
      </c>
      <c r="U19" s="38">
        <v>1.2609566575327018</v>
      </c>
      <c r="V19" s="38">
        <v>1</v>
      </c>
      <c r="W19" s="38" t="str">
        <v/>
      </c>
      <c r="X19" s="38" t="str">
        <v/>
      </c>
      <c r="Y19" s="38" t="str">
        <v/>
      </c>
      <c r="Z19" s="38" t="str">
        <v/>
      </c>
      <c r="AA19" s="14" t="str">
        <v/>
      </c>
      <c r="AB19" s="14" t="str">
        <v/>
      </c>
      <c r="AC19" s="14" t="str">
        <v/>
      </c>
      <c r="AD19" s="14" t="str">
        <v/>
      </c>
      <c r="AE19" s="14" t="str">
        <v/>
      </c>
      <c r="AF19" s="55" t="str">
        <v/>
      </c>
      <c r="AG19" s="14" t="str">
        <v/>
      </c>
      <c r="AH19" s="14" t="str">
        <v/>
      </c>
      <c r="AI19" s="14" t="str">
        <v/>
      </c>
      <c r="AJ19" s="14" t="str">
        <v/>
      </c>
      <c r="AK19" s="14" t="str">
        <v/>
      </c>
      <c r="AL19" s="14" t="str">
        <v/>
      </c>
      <c r="AM19" s="14" t="str">
        <v/>
      </c>
      <c r="AN19" s="14" t="str">
        <v/>
      </c>
      <c r="AO19" s="14" t="str">
        <v/>
      </c>
      <c r="AP19" s="14" t="str">
        <v/>
      </c>
      <c r="AQ19" s="14" t="str">
        <v/>
      </c>
      <c r="AR19" s="14" t="str">
        <v/>
      </c>
      <c r="AS19" s="14" t="str">
        <v/>
      </c>
      <c r="AT19" s="14" t="str">
        <v/>
      </c>
      <c r="AU19" s="14" t="str">
        <v/>
      </c>
      <c r="AV19" s="14" t="str">
        <v/>
      </c>
      <c r="AW19" s="14" t="str">
        <v/>
      </c>
      <c r="AX19" s="14" t="str">
        <v/>
      </c>
    </row>
    <row r="20" spans="1:50" hidden="1">
      <c r="A20" s="39">
        <v>13</v>
      </c>
      <c r="B20" s="11">
        <v>1.8278000000000001</v>
      </c>
      <c r="C20" s="11">
        <f>+PI()*(Cond_Dia_Area[[#This Row],[Dia '[mm']]]/2)^2</f>
        <v>2.6238996847171494</v>
      </c>
      <c r="E20" s="46">
        <v>13</v>
      </c>
      <c r="F20" s="76">
        <f t="shared" si="0"/>
        <v>2.6238996847171494</v>
      </c>
      <c r="G20" s="38">
        <v>40.862576874233099</v>
      </c>
      <c r="H20" s="38">
        <v>32.406104125196961</v>
      </c>
      <c r="I20" s="38">
        <v>25.697988089173066</v>
      </c>
      <c r="J20" s="38">
        <v>20.379213018553667</v>
      </c>
      <c r="K20" s="38">
        <v>16.161473308114939</v>
      </c>
      <c r="L20" s="38">
        <v>12.81669771482661</v>
      </c>
      <c r="M20" s="38">
        <v>10.163949585998525</v>
      </c>
      <c r="N20" s="38">
        <v>8.0604671261126253</v>
      </c>
      <c r="O20" s="38">
        <v>6.3922269141313013</v>
      </c>
      <c r="P20" s="38">
        <v>5.0692726980455687</v>
      </c>
      <c r="Q20" s="38">
        <v>4.0201588286660357</v>
      </c>
      <c r="R20" s="38">
        <v>3.1881335305987313</v>
      </c>
      <c r="S20" s="38">
        <v>2.5282705029294257</v>
      </c>
      <c r="T20" s="41">
        <v>2.0049555999000539</v>
      </c>
      <c r="U20" s="38">
        <v>1.5900440080443652</v>
      </c>
      <c r="V20" s="38">
        <v>1.2609822855890895</v>
      </c>
      <c r="W20" s="38">
        <v>1</v>
      </c>
      <c r="X20" s="38" t="str">
        <v/>
      </c>
      <c r="Y20" s="38" t="str">
        <v/>
      </c>
      <c r="Z20" s="38" t="str">
        <v/>
      </c>
      <c r="AA20" s="14" t="str">
        <v/>
      </c>
      <c r="AB20" s="14" t="str">
        <v/>
      </c>
      <c r="AC20" s="14" t="str">
        <v/>
      </c>
      <c r="AD20" s="14" t="str">
        <v/>
      </c>
      <c r="AE20" s="14" t="str">
        <v/>
      </c>
      <c r="AF20" s="55" t="str">
        <v/>
      </c>
      <c r="AG20" s="14" t="str">
        <v/>
      </c>
      <c r="AH20" s="14" t="str">
        <v/>
      </c>
      <c r="AI20" s="14" t="str">
        <v/>
      </c>
      <c r="AJ20" s="14" t="str">
        <v/>
      </c>
      <c r="AK20" s="14" t="str">
        <v/>
      </c>
      <c r="AL20" s="14" t="str">
        <v/>
      </c>
      <c r="AM20" s="14" t="str">
        <v/>
      </c>
      <c r="AN20" s="14" t="str">
        <v/>
      </c>
      <c r="AO20" s="14" t="str">
        <v/>
      </c>
      <c r="AP20" s="14" t="str">
        <v/>
      </c>
      <c r="AQ20" s="14" t="str">
        <v/>
      </c>
      <c r="AR20" s="14" t="str">
        <v/>
      </c>
      <c r="AS20" s="14" t="str">
        <v/>
      </c>
      <c r="AT20" s="14" t="str">
        <v/>
      </c>
      <c r="AU20" s="14" t="str">
        <v/>
      </c>
      <c r="AV20" s="14" t="str">
        <v/>
      </c>
      <c r="AW20" s="14" t="str">
        <v/>
      </c>
      <c r="AX20" s="14" t="str">
        <v/>
      </c>
    </row>
    <row r="21" spans="1:50">
      <c r="A21" s="39">
        <v>14</v>
      </c>
      <c r="B21" s="11">
        <v>1.6276999999999999</v>
      </c>
      <c r="C21" s="11">
        <f>+PI()*(Cond_Dia_Area[[#This Row],[Dia '[mm']]]/2)^2</f>
        <v>2.0808396196578105</v>
      </c>
      <c r="E21" s="46">
        <v>14</v>
      </c>
      <c r="F21" s="76">
        <f t="shared" si="0"/>
        <v>2.0808396196578105</v>
      </c>
      <c r="G21" s="38">
        <v>51.526942088243437</v>
      </c>
      <c r="H21" s="38">
        <v>40.863488754120546</v>
      </c>
      <c r="I21" s="38">
        <v>32.404680403064802</v>
      </c>
      <c r="J21" s="38">
        <v>25.697804919227806</v>
      </c>
      <c r="K21" s="38">
        <v>20.379314348455651</v>
      </c>
      <c r="L21" s="38">
        <v>16.161615136191461</v>
      </c>
      <c r="M21" s="38">
        <v>12.816549561166189</v>
      </c>
      <c r="N21" s="42">
        <v>10.16409768012679</v>
      </c>
      <c r="O21" s="38">
        <v>8.0604781003678756</v>
      </c>
      <c r="P21" s="38">
        <v>6.3922576773765885</v>
      </c>
      <c r="Q21" s="38">
        <v>5.0693447891886798</v>
      </c>
      <c r="R21" s="42">
        <v>4.0201765127625961</v>
      </c>
      <c r="S21" s="38">
        <v>3.1881016263075206</v>
      </c>
      <c r="T21" s="41">
        <v>2.5282113608134593</v>
      </c>
      <c r="U21" s="38">
        <v>2.005015635025297</v>
      </c>
      <c r="V21" s="42">
        <v>1.5900749823935154</v>
      </c>
      <c r="W21" s="38">
        <v>1.2609812211998559</v>
      </c>
      <c r="X21" s="38">
        <v>1</v>
      </c>
      <c r="Y21" s="38" t="str">
        <v/>
      </c>
      <c r="Z21" s="38" t="str">
        <v/>
      </c>
      <c r="AA21" s="14" t="str">
        <v/>
      </c>
      <c r="AB21" s="14" t="str">
        <v/>
      </c>
      <c r="AC21" s="14" t="str">
        <v/>
      </c>
      <c r="AD21" s="14" t="str">
        <v/>
      </c>
      <c r="AE21" s="14" t="str">
        <v/>
      </c>
      <c r="AF21" s="55" t="str">
        <v/>
      </c>
      <c r="AG21" s="14" t="str">
        <v/>
      </c>
      <c r="AH21" s="14" t="str">
        <v/>
      </c>
      <c r="AI21" s="14" t="str">
        <v/>
      </c>
      <c r="AJ21" s="14" t="str">
        <v/>
      </c>
      <c r="AK21" s="14" t="str">
        <v/>
      </c>
      <c r="AL21" s="14" t="str">
        <v/>
      </c>
      <c r="AM21" s="14" t="str">
        <v/>
      </c>
      <c r="AN21" s="14" t="str">
        <v/>
      </c>
      <c r="AO21" s="14" t="str">
        <v/>
      </c>
      <c r="AP21" s="14" t="str">
        <v/>
      </c>
      <c r="AQ21" s="14" t="str">
        <v/>
      </c>
      <c r="AR21" s="14" t="str">
        <v/>
      </c>
      <c r="AS21" s="14" t="str">
        <v/>
      </c>
      <c r="AT21" s="14" t="str">
        <v/>
      </c>
      <c r="AU21" s="14" t="str">
        <v/>
      </c>
      <c r="AV21" s="14" t="str">
        <v/>
      </c>
      <c r="AW21" s="14" t="str">
        <v/>
      </c>
      <c r="AX21" s="14" t="str">
        <v/>
      </c>
    </row>
    <row r="22" spans="1:50" hidden="1">
      <c r="A22" s="39">
        <v>15</v>
      </c>
      <c r="B22" s="11">
        <v>1.4495</v>
      </c>
      <c r="C22" s="11">
        <f>+PI()*(Cond_Dia_Area[[#This Row],[Dia '[mm']]]/2)^2</f>
        <v>1.6501610075557496</v>
      </c>
      <c r="E22" s="46">
        <v>15</v>
      </c>
      <c r="F22" s="76">
        <f t="shared" si="0"/>
        <v>1.6501610075557496</v>
      </c>
      <c r="G22" s="38">
        <v>64.97505521345812</v>
      </c>
      <c r="H22" s="38">
        <v>51.528527221088588</v>
      </c>
      <c r="I22" s="38">
        <v>40.862038635201614</v>
      </c>
      <c r="J22" s="38">
        <v>32.404723156906883</v>
      </c>
      <c r="K22" s="38">
        <v>25.698149770573075</v>
      </c>
      <c r="L22" s="38">
        <v>20.379665341178772</v>
      </c>
      <c r="M22" s="38">
        <v>16.161564836443109</v>
      </c>
      <c r="N22" s="38">
        <v>12.816844570947318</v>
      </c>
      <c r="O22" s="38">
        <v>10.164197377002287</v>
      </c>
      <c r="P22" s="38">
        <v>8.0605849812492583</v>
      </c>
      <c r="Q22" s="38">
        <v>6.3924025805665519</v>
      </c>
      <c r="R22" s="38">
        <v>5.0694099105911432</v>
      </c>
      <c r="S22" s="38">
        <v>4.0201702410496845</v>
      </c>
      <c r="T22" s="41">
        <v>3.1880539791944522</v>
      </c>
      <c r="U22" s="38">
        <v>2.5283084209908835</v>
      </c>
      <c r="V22" s="38">
        <v>2.0050716302477776</v>
      </c>
      <c r="W22" s="38">
        <v>1.5900870719298601</v>
      </c>
      <c r="X22" s="38">
        <v>1.2609918729930423</v>
      </c>
      <c r="Y22" s="38">
        <v>1</v>
      </c>
      <c r="Z22" s="38" t="str">
        <v/>
      </c>
      <c r="AA22" s="14" t="str">
        <v/>
      </c>
      <c r="AB22" s="14" t="str">
        <v/>
      </c>
      <c r="AC22" s="14" t="str">
        <v/>
      </c>
      <c r="AD22" s="14" t="str">
        <v/>
      </c>
      <c r="AE22" s="14" t="str">
        <v/>
      </c>
      <c r="AF22" s="55" t="str">
        <v/>
      </c>
      <c r="AG22" s="14" t="str">
        <v/>
      </c>
      <c r="AH22" s="14" t="str">
        <v/>
      </c>
      <c r="AI22" s="14" t="str">
        <v/>
      </c>
      <c r="AJ22" s="14" t="str">
        <v/>
      </c>
      <c r="AK22" s="14" t="str">
        <v/>
      </c>
      <c r="AL22" s="14" t="str">
        <v/>
      </c>
      <c r="AM22" s="14" t="str">
        <v/>
      </c>
      <c r="AN22" s="14" t="str">
        <v/>
      </c>
      <c r="AO22" s="14" t="str">
        <v/>
      </c>
      <c r="AP22" s="14" t="str">
        <v/>
      </c>
      <c r="AQ22" s="14" t="str">
        <v/>
      </c>
      <c r="AR22" s="14" t="str">
        <v/>
      </c>
      <c r="AS22" s="14" t="str">
        <v/>
      </c>
      <c r="AT22" s="14" t="str">
        <v/>
      </c>
      <c r="AU22" s="14" t="str">
        <v/>
      </c>
      <c r="AV22" s="14" t="str">
        <v/>
      </c>
      <c r="AW22" s="14" t="str">
        <v/>
      </c>
      <c r="AX22" s="14" t="str">
        <v/>
      </c>
    </row>
    <row r="23" spans="1:50">
      <c r="A23" s="39">
        <v>16</v>
      </c>
      <c r="B23" s="11">
        <v>1.2907999999999999</v>
      </c>
      <c r="C23" s="11">
        <f>+PI()*(Cond_Dia_Area[[#This Row],[Dia '[mm']]]/2)^2</f>
        <v>1.3086026481737705</v>
      </c>
      <c r="E23" s="46">
        <v>16</v>
      </c>
      <c r="F23" s="76">
        <f t="shared" si="0"/>
        <v>1.3086026481737705</v>
      </c>
      <c r="G23" s="38">
        <v>81.934193490026288</v>
      </c>
      <c r="H23" s="38">
        <v>64.977987409455523</v>
      </c>
      <c r="I23" s="38">
        <v>51.527438783000477</v>
      </c>
      <c r="J23" s="38">
        <v>40.86267950687035</v>
      </c>
      <c r="K23" s="38">
        <v>32.405623492285855</v>
      </c>
      <c r="L23" s="38">
        <v>25.69896151439152</v>
      </c>
      <c r="M23" s="38">
        <v>20.379894654348206</v>
      </c>
      <c r="N23" s="42">
        <v>16.162168997896874</v>
      </c>
      <c r="O23" s="38">
        <v>12.817154395978539</v>
      </c>
      <c r="P23" s="38">
        <v>10.164478157452677</v>
      </c>
      <c r="Q23" s="38">
        <v>8.0608834910816505</v>
      </c>
      <c r="R23" s="42">
        <v>6.3925765223297502</v>
      </c>
      <c r="S23" s="38">
        <v>5.0694748209276614</v>
      </c>
      <c r="T23" s="41">
        <v>4.0201679048956409</v>
      </c>
      <c r="U23" s="38">
        <v>3.1882221675284148</v>
      </c>
      <c r="V23" s="42">
        <v>2.5284153491578127</v>
      </c>
      <c r="W23" s="38">
        <v>2.0051156769237406</v>
      </c>
      <c r="X23" s="38">
        <v>1.5901233445933651</v>
      </c>
      <c r="Y23" s="38">
        <v>1.2610099863840587</v>
      </c>
      <c r="Z23" s="38">
        <v>1</v>
      </c>
      <c r="AA23" s="14" t="str">
        <v/>
      </c>
      <c r="AB23" s="14" t="str">
        <v/>
      </c>
      <c r="AC23" s="14" t="str">
        <v/>
      </c>
      <c r="AD23" s="14" t="str">
        <v/>
      </c>
      <c r="AE23" s="14" t="str">
        <v/>
      </c>
      <c r="AF23" s="55" t="str">
        <v/>
      </c>
      <c r="AG23" s="14" t="str">
        <v/>
      </c>
      <c r="AH23" s="14" t="str">
        <v/>
      </c>
      <c r="AI23" s="14" t="str">
        <v/>
      </c>
      <c r="AJ23" s="14" t="str">
        <v/>
      </c>
      <c r="AK23" s="14" t="str">
        <v/>
      </c>
      <c r="AL23" s="14" t="str">
        <v/>
      </c>
      <c r="AM23" s="14" t="str">
        <v/>
      </c>
      <c r="AN23" s="14" t="str">
        <v/>
      </c>
      <c r="AO23" s="14" t="str">
        <v/>
      </c>
      <c r="AP23" s="14" t="str">
        <v/>
      </c>
      <c r="AQ23" s="14" t="str">
        <v/>
      </c>
      <c r="AR23" s="14" t="str">
        <v/>
      </c>
      <c r="AS23" s="14" t="str">
        <v/>
      </c>
      <c r="AT23" s="14" t="str">
        <v/>
      </c>
      <c r="AU23" s="14" t="str">
        <v/>
      </c>
      <c r="AV23" s="14" t="str">
        <v/>
      </c>
      <c r="AW23" s="14" t="str">
        <v/>
      </c>
      <c r="AX23" s="14" t="str">
        <v/>
      </c>
    </row>
    <row r="24" spans="1:50" hidden="1">
      <c r="A24" s="39">
        <v>17</v>
      </c>
      <c r="B24" s="11">
        <v>1.1495</v>
      </c>
      <c r="C24" s="11">
        <f>+PI()*(Cond_Dia_Area[[#This Row],[Dia '[mm']]]/2)^2</f>
        <v>1.037786059554759</v>
      </c>
      <c r="E24" s="46">
        <v>17</v>
      </c>
      <c r="F24" s="76">
        <f t="shared" si="0"/>
        <v>1.037786059554759</v>
      </c>
      <c r="G24" s="38">
        <v>103.31541996529685</v>
      </c>
      <c r="H24" s="38">
        <v>81.934388705795456</v>
      </c>
      <c r="I24" s="38">
        <v>64.973837549885076</v>
      </c>
      <c r="J24" s="38">
        <v>51.526044430687485</v>
      </c>
      <c r="K24" s="38">
        <v>40.862068176094873</v>
      </c>
      <c r="L24" s="38">
        <v>32.405261935660135</v>
      </c>
      <c r="M24" s="38">
        <v>25.698152204534722</v>
      </c>
      <c r="N24" s="38">
        <v>20.379785367278668</v>
      </c>
      <c r="O24" s="38">
        <v>16.161868845902138</v>
      </c>
      <c r="P24" s="38">
        <v>12.816960597691644</v>
      </c>
      <c r="Q24" s="38">
        <v>10.164420099818351</v>
      </c>
      <c r="R24" s="38">
        <v>8.0607582735917305</v>
      </c>
      <c r="S24" s="38">
        <v>6.3923851302862369</v>
      </c>
      <c r="T24" s="38">
        <v>5.0692551880169541</v>
      </c>
      <c r="U24" s="38">
        <v>4.0202081469315205</v>
      </c>
      <c r="V24" s="38">
        <v>3.1882207234607187</v>
      </c>
      <c r="W24" s="38">
        <v>2.5283628167474905</v>
      </c>
      <c r="X24" s="38">
        <v>2.0050757094873219</v>
      </c>
      <c r="Y24" s="38">
        <v>1.5900782173386658</v>
      </c>
      <c r="Z24" s="38">
        <v>1.2609560863972289</v>
      </c>
      <c r="AA24" s="14">
        <v>1</v>
      </c>
      <c r="AB24" s="14" t="str">
        <v/>
      </c>
      <c r="AC24" s="14" t="str">
        <v/>
      </c>
      <c r="AD24" s="14" t="str">
        <v/>
      </c>
      <c r="AE24" s="14" t="str">
        <v/>
      </c>
      <c r="AF24" s="55" t="str">
        <v/>
      </c>
      <c r="AG24" s="14" t="str">
        <v/>
      </c>
      <c r="AH24" s="14" t="str">
        <v/>
      </c>
      <c r="AI24" s="14" t="str">
        <v/>
      </c>
      <c r="AJ24" s="14" t="str">
        <v/>
      </c>
      <c r="AK24" s="14" t="str">
        <v/>
      </c>
      <c r="AL24" s="14" t="str">
        <v/>
      </c>
      <c r="AM24" s="14" t="str">
        <v/>
      </c>
      <c r="AN24" s="14" t="str">
        <v/>
      </c>
      <c r="AO24" s="14" t="str">
        <v/>
      </c>
      <c r="AP24" s="14" t="str">
        <v/>
      </c>
      <c r="AQ24" s="14" t="str">
        <v/>
      </c>
      <c r="AR24" s="14" t="str">
        <v/>
      </c>
      <c r="AS24" s="14" t="str">
        <v/>
      </c>
      <c r="AT24" s="14" t="str">
        <v/>
      </c>
      <c r="AU24" s="14" t="str">
        <v/>
      </c>
      <c r="AV24" s="14" t="str">
        <v/>
      </c>
      <c r="AW24" s="14" t="str">
        <v/>
      </c>
      <c r="AX24" s="14" t="str">
        <v/>
      </c>
    </row>
    <row r="25" spans="1:50">
      <c r="A25" s="39">
        <v>18</v>
      </c>
      <c r="B25" s="11">
        <v>1.0237000000000001</v>
      </c>
      <c r="C25" s="11">
        <f>+PI()*(Cond_Dia_Area[[#This Row],[Dia '[mm']]]/2)^2</f>
        <v>0.82306718663688616</v>
      </c>
      <c r="E25" s="46">
        <v>18</v>
      </c>
      <c r="F25" s="76">
        <f t="shared" si="0"/>
        <v>0.82306718663688616</v>
      </c>
      <c r="G25" s="38">
        <v>130.26798336492621</v>
      </c>
      <c r="H25" s="38">
        <v>103.30914386765414</v>
      </c>
      <c r="I25" s="38">
        <v>81.923983776544347</v>
      </c>
      <c r="J25" s="38">
        <v>64.967977684375072</v>
      </c>
      <c r="K25" s="38">
        <v>51.52202080974925</v>
      </c>
      <c r="L25" s="38">
        <v>40.859032699945345</v>
      </c>
      <c r="M25" s="38">
        <v>32.402195771106861</v>
      </c>
      <c r="N25" s="38">
        <v>25.696392098073737</v>
      </c>
      <c r="O25" s="38">
        <v>20.378120349036799</v>
      </c>
      <c r="P25" s="38">
        <v>16.160604201094412</v>
      </c>
      <c r="Q25" s="38">
        <v>12.816078267135889</v>
      </c>
      <c r="R25" s="38">
        <v>10.163620542273827</v>
      </c>
      <c r="S25" s="38">
        <v>8.0600080810205945</v>
      </c>
      <c r="T25" s="38">
        <v>6.3917046528676043</v>
      </c>
      <c r="U25" s="38">
        <v>5.0689859092081884</v>
      </c>
      <c r="V25" s="38">
        <v>4.0199525328068058</v>
      </c>
      <c r="W25" s="38">
        <v>3.1879532161142263</v>
      </c>
      <c r="X25" s="38">
        <v>2.5281528087157454</v>
      </c>
      <c r="Y25" s="38">
        <v>2.004892230363879</v>
      </c>
      <c r="Z25" s="38">
        <v>1.589909875426839</v>
      </c>
      <c r="AA25" s="14">
        <v>1.2608764829943351</v>
      </c>
      <c r="AB25" s="14">
        <v>1</v>
      </c>
      <c r="AC25" s="14" t="str">
        <v/>
      </c>
      <c r="AD25" s="14" t="str">
        <v/>
      </c>
      <c r="AE25" s="14" t="str">
        <v/>
      </c>
      <c r="AF25" s="55" t="str">
        <v/>
      </c>
      <c r="AG25" s="14" t="str">
        <v/>
      </c>
      <c r="AH25" s="14" t="str">
        <v/>
      </c>
      <c r="AI25" s="14" t="str">
        <v/>
      </c>
      <c r="AJ25" s="14" t="str">
        <v/>
      </c>
      <c r="AK25" s="14" t="str">
        <v/>
      </c>
      <c r="AL25" s="14" t="str">
        <v/>
      </c>
      <c r="AM25" s="14" t="str">
        <v/>
      </c>
      <c r="AN25" s="14" t="str">
        <v/>
      </c>
      <c r="AO25" s="14" t="str">
        <v/>
      </c>
      <c r="AP25" s="14" t="str">
        <v/>
      </c>
      <c r="AQ25" s="14" t="str">
        <v/>
      </c>
      <c r="AR25" s="14" t="str">
        <v/>
      </c>
      <c r="AS25" s="14" t="str">
        <v/>
      </c>
      <c r="AT25" s="14" t="str">
        <v/>
      </c>
      <c r="AU25" s="14" t="str">
        <v/>
      </c>
      <c r="AV25" s="14" t="str">
        <v/>
      </c>
      <c r="AW25" s="14" t="str">
        <v/>
      </c>
      <c r="AX25" s="14" t="str">
        <v/>
      </c>
    </row>
    <row r="26" spans="1:50" hidden="1">
      <c r="A26" s="39">
        <v>19</v>
      </c>
      <c r="B26" s="11">
        <v>0.91159999999999997</v>
      </c>
      <c r="C26" s="11">
        <f>+PI()*(Cond_Dia_Area[[#This Row],[Dia '[mm']]]/2)^2</f>
        <v>0.65267730918053857</v>
      </c>
      <c r="E26" s="46">
        <v>19</v>
      </c>
      <c r="F26" s="76">
        <f t="shared" si="0"/>
        <v>0.65267730918053857</v>
      </c>
      <c r="G26" s="38">
        <v>164.27613013182344</v>
      </c>
      <c r="H26" s="38">
        <v>130.27933589996303</v>
      </c>
      <c r="I26" s="38">
        <v>103.31130237958769</v>
      </c>
      <c r="J26" s="38">
        <v>81.928710960250811</v>
      </c>
      <c r="K26" s="38">
        <v>64.972512635639021</v>
      </c>
      <c r="L26" s="38">
        <v>51.525813169867924</v>
      </c>
      <c r="M26" s="38">
        <v>40.86120926689901</v>
      </c>
      <c r="N26" s="38">
        <v>32.404768563862476</v>
      </c>
      <c r="O26" s="38">
        <v>25.698092991294878</v>
      </c>
      <c r="P26" s="38">
        <v>20.379539547417799</v>
      </c>
      <c r="Q26" s="38">
        <v>16.161881736464402</v>
      </c>
      <c r="R26" s="38">
        <v>12.816965517427276</v>
      </c>
      <c r="S26" s="38">
        <v>10.164177737150599</v>
      </c>
      <c r="T26" s="38">
        <v>8.0603420594700523</v>
      </c>
      <c r="U26" s="38">
        <v>6.3923104307582781</v>
      </c>
      <c r="V26" s="38">
        <v>5.0694132844074371</v>
      </c>
      <c r="W26" s="38">
        <v>4.0202097542069541</v>
      </c>
      <c r="X26" s="38">
        <v>3.1881598921684358</v>
      </c>
      <c r="Y26" s="38">
        <v>2.5282953526109098</v>
      </c>
      <c r="Z26" s="38">
        <v>2.0049764711703726</v>
      </c>
      <c r="AA26" s="14">
        <v>1.5900446437424633</v>
      </c>
      <c r="AB26" s="14">
        <v>1.261062971026645</v>
      </c>
      <c r="AC26" s="14">
        <v>1</v>
      </c>
      <c r="AD26" s="14" t="str">
        <v/>
      </c>
      <c r="AE26" s="14" t="str">
        <v/>
      </c>
      <c r="AF26" s="55" t="str">
        <v/>
      </c>
      <c r="AG26" s="14" t="str">
        <v/>
      </c>
      <c r="AH26" s="14" t="str">
        <v/>
      </c>
      <c r="AI26" s="14" t="str">
        <v/>
      </c>
      <c r="AJ26" s="14" t="str">
        <v/>
      </c>
      <c r="AK26" s="14" t="str">
        <v/>
      </c>
      <c r="AL26" s="14" t="str">
        <v/>
      </c>
      <c r="AM26" s="14" t="str">
        <v/>
      </c>
      <c r="AN26" s="14" t="str">
        <v/>
      </c>
      <c r="AO26" s="14" t="str">
        <v/>
      </c>
      <c r="AP26" s="14" t="str">
        <v/>
      </c>
      <c r="AQ26" s="14" t="str">
        <v/>
      </c>
      <c r="AR26" s="14" t="str">
        <v/>
      </c>
      <c r="AS26" s="14" t="str">
        <v/>
      </c>
      <c r="AT26" s="14" t="str">
        <v/>
      </c>
      <c r="AU26" s="14" t="str">
        <v/>
      </c>
      <c r="AV26" s="14" t="str">
        <v/>
      </c>
      <c r="AW26" s="14" t="str">
        <v/>
      </c>
      <c r="AX26" s="14" t="str">
        <v/>
      </c>
    </row>
    <row r="27" spans="1:50">
      <c r="A27" s="39">
        <v>20</v>
      </c>
      <c r="B27" s="11">
        <v>0.81179999999999997</v>
      </c>
      <c r="C27" s="11">
        <f>+PI()*(Cond_Dia_Area[[#This Row],[Dia '[mm']]]/2)^2</f>
        <v>0.51759250073958207</v>
      </c>
      <c r="E27" s="46">
        <v>20</v>
      </c>
      <c r="F27" s="76">
        <f t="shared" si="0"/>
        <v>0.51759250073958207</v>
      </c>
      <c r="G27" s="38">
        <v>207.15003100668201</v>
      </c>
      <c r="H27" s="38">
        <v>164.28052237139542</v>
      </c>
      <c r="I27" s="38">
        <v>130.27418818606878</v>
      </c>
      <c r="J27" s="38">
        <v>103.31102274039831</v>
      </c>
      <c r="K27" s="38">
        <v>81.929480541417888</v>
      </c>
      <c r="L27" s="38">
        <v>64.973370064279166</v>
      </c>
      <c r="M27" s="38">
        <v>51.525445357255435</v>
      </c>
      <c r="N27" s="38">
        <v>40.861985288927237</v>
      </c>
      <c r="O27" s="38">
        <v>32.40495594635447</v>
      </c>
      <c r="P27" s="38">
        <v>25.698330279401258</v>
      </c>
      <c r="Q27" s="38">
        <v>20.379919469422475</v>
      </c>
      <c r="R27" s="38">
        <v>16.162024283236406</v>
      </c>
      <c r="S27" s="38">
        <v>12.81689391951592</v>
      </c>
      <c r="T27" s="38">
        <v>10.163984908847276</v>
      </c>
      <c r="U27" s="38">
        <v>8.0606190496046857</v>
      </c>
      <c r="V27" s="38">
        <v>6.3924632154897356</v>
      </c>
      <c r="W27" s="38">
        <v>5.069431417510665</v>
      </c>
      <c r="X27" s="38">
        <v>4.0202275278032857</v>
      </c>
      <c r="Y27" s="38">
        <v>3.1881470562225172</v>
      </c>
      <c r="Z27" s="38">
        <v>2.5282488565887702</v>
      </c>
      <c r="AA27" s="14">
        <v>2.0050253009305163</v>
      </c>
      <c r="AB27" s="14">
        <v>1.5901837554848934</v>
      </c>
      <c r="AC27" s="14">
        <v>1.2609867960759387</v>
      </c>
      <c r="AD27" s="14">
        <v>1</v>
      </c>
      <c r="AE27" s="14" t="str">
        <v/>
      </c>
      <c r="AF27" s="55" t="str">
        <v/>
      </c>
      <c r="AG27" s="14" t="str">
        <v/>
      </c>
      <c r="AH27" s="14" t="str">
        <v/>
      </c>
      <c r="AI27" s="14" t="str">
        <v/>
      </c>
      <c r="AJ27" s="14" t="str">
        <v/>
      </c>
      <c r="AK27" s="14" t="str">
        <v/>
      </c>
      <c r="AL27" s="14" t="str">
        <v/>
      </c>
      <c r="AM27" s="14" t="str">
        <v/>
      </c>
      <c r="AN27" s="14" t="str">
        <v/>
      </c>
      <c r="AO27" s="14" t="str">
        <v/>
      </c>
      <c r="AP27" s="14" t="str">
        <v/>
      </c>
      <c r="AQ27" s="14" t="str">
        <v/>
      </c>
      <c r="AR27" s="14" t="str">
        <v/>
      </c>
      <c r="AS27" s="14" t="str">
        <v/>
      </c>
      <c r="AT27" s="14" t="str">
        <v/>
      </c>
      <c r="AU27" s="14" t="str">
        <v/>
      </c>
      <c r="AV27" s="14" t="str">
        <v/>
      </c>
      <c r="AW27" s="14" t="str">
        <v/>
      </c>
      <c r="AX27" s="14" t="str">
        <v/>
      </c>
    </row>
    <row r="28" spans="1:50" hidden="1">
      <c r="A28" s="39">
        <v>21</v>
      </c>
      <c r="B28" s="11">
        <v>0.72289999999999999</v>
      </c>
      <c r="C28" s="11">
        <f>+PI()*(Cond_Dia_Area[[#This Row],[Dia '[mm']]]/2)^2</f>
        <v>0.41043683583413909</v>
      </c>
      <c r="E28" s="46">
        <v>21</v>
      </c>
      <c r="F28" s="76">
        <f t="shared" si="0"/>
        <v>0.41043683583413909</v>
      </c>
      <c r="G28" s="38">
        <v>261.23216343174107</v>
      </c>
      <c r="H28" s="38">
        <v>207.17040716924561</v>
      </c>
      <c r="I28" s="38">
        <v>164.28579737003639</v>
      </c>
      <c r="J28" s="38">
        <v>130.28316648405183</v>
      </c>
      <c r="K28" s="38">
        <v>103.31939293787964</v>
      </c>
      <c r="L28" s="38">
        <v>81.936430059212825</v>
      </c>
      <c r="M28" s="38">
        <v>64.977559969689878</v>
      </c>
      <c r="N28" s="38">
        <v>51.530114512983666</v>
      </c>
      <c r="O28" s="38">
        <v>40.865148349909632</v>
      </c>
      <c r="P28" s="38">
        <v>32.407576203813662</v>
      </c>
      <c r="Q28" s="38">
        <v>25.700650044267491</v>
      </c>
      <c r="R28" s="38">
        <v>20.381558952361399</v>
      </c>
      <c r="S28" s="38">
        <v>16.163091604665361</v>
      </c>
      <c r="T28" s="38">
        <v>12.817568763675899</v>
      </c>
      <c r="U28" s="38">
        <v>10.165062214542528</v>
      </c>
      <c r="V28" s="38">
        <v>8.0613890682272764</v>
      </c>
      <c r="W28" s="38">
        <v>6.3929439456488959</v>
      </c>
      <c r="X28" s="38">
        <v>5.0698169315843158</v>
      </c>
      <c r="Y28" s="38">
        <v>4.0204992912054154</v>
      </c>
      <c r="Z28" s="38">
        <v>3.1883167735524296</v>
      </c>
      <c r="AA28" s="14">
        <v>2.5284915215897845</v>
      </c>
      <c r="AB28" s="14">
        <v>2.0053443423618402</v>
      </c>
      <c r="AC28" s="14">
        <v>1.5902015905908866</v>
      </c>
      <c r="AD28" s="14">
        <v>1.2610771147956745</v>
      </c>
      <c r="AE28" s="14">
        <v>1</v>
      </c>
      <c r="AF28" s="55" t="str">
        <v/>
      </c>
      <c r="AG28" s="14" t="str">
        <v/>
      </c>
      <c r="AH28" s="14" t="str">
        <v/>
      </c>
      <c r="AI28" s="14" t="str">
        <v/>
      </c>
      <c r="AJ28" s="14" t="str">
        <v/>
      </c>
      <c r="AK28" s="14" t="str">
        <v/>
      </c>
      <c r="AL28" s="14" t="str">
        <v/>
      </c>
      <c r="AM28" s="14" t="str">
        <v/>
      </c>
      <c r="AN28" s="14" t="str">
        <v/>
      </c>
      <c r="AO28" s="14" t="str">
        <v/>
      </c>
      <c r="AP28" s="14" t="str">
        <v/>
      </c>
      <c r="AQ28" s="14" t="str">
        <v/>
      </c>
      <c r="AR28" s="14" t="str">
        <v/>
      </c>
      <c r="AS28" s="14" t="str">
        <v/>
      </c>
      <c r="AT28" s="14" t="str">
        <v/>
      </c>
      <c r="AU28" s="14" t="str">
        <v/>
      </c>
      <c r="AV28" s="14" t="str">
        <v/>
      </c>
      <c r="AW28" s="14" t="str">
        <v/>
      </c>
      <c r="AX28" s="14" t="str">
        <v/>
      </c>
    </row>
    <row r="29" spans="1:50">
      <c r="A29" s="39">
        <v>22</v>
      </c>
      <c r="B29" s="11">
        <v>0.64380000000000004</v>
      </c>
      <c r="C29" s="11">
        <f>+PI()*(Cond_Dia_Area[[#This Row],[Dia '[mm']]]/2)^2</f>
        <v>0.3255306055438395</v>
      </c>
      <c r="E29" s="46">
        <v>22</v>
      </c>
      <c r="F29" s="76">
        <f t="shared" si="0"/>
        <v>0.3255306055438395</v>
      </c>
      <c r="G29" s="38">
        <v>329.36780981901006</v>
      </c>
      <c r="H29" s="38">
        <v>261.2054441239452</v>
      </c>
      <c r="I29" s="38">
        <v>207.13549416466634</v>
      </c>
      <c r="J29" s="38">
        <v>164.26415735882424</v>
      </c>
      <c r="K29" s="38">
        <v>130.26758159000983</v>
      </c>
      <c r="L29" s="38">
        <v>103.30742646107235</v>
      </c>
      <c r="M29" s="38">
        <v>81.925274183139649</v>
      </c>
      <c r="N29" s="38">
        <v>64.970410740785454</v>
      </c>
      <c r="O29" s="38">
        <v>51.523764275893328</v>
      </c>
      <c r="P29" s="38">
        <v>40.860253406666942</v>
      </c>
      <c r="Q29" s="38">
        <v>32.403999204397699</v>
      </c>
      <c r="R29" s="42">
        <v>25.697560915351829</v>
      </c>
      <c r="S29" s="38">
        <v>20.378815578441184</v>
      </c>
      <c r="T29" s="42">
        <v>16.160699721799759</v>
      </c>
      <c r="U29" s="38">
        <v>12.816355514173427</v>
      </c>
      <c r="V29" s="42">
        <v>10.163993692892689</v>
      </c>
      <c r="W29" s="38">
        <v>8.0603778570484863</v>
      </c>
      <c r="X29" s="38">
        <v>6.3921474178488014</v>
      </c>
      <c r="Y29" s="38">
        <v>5.0691424383859385</v>
      </c>
      <c r="Z29" s="42">
        <v>4.0199066566646984</v>
      </c>
      <c r="AA29" s="14">
        <v>3.1879830709650414</v>
      </c>
      <c r="AB29" s="14">
        <v>2.528386494602711</v>
      </c>
      <c r="AC29" s="14">
        <v>2.0049645043057001</v>
      </c>
      <c r="AD29" s="14">
        <v>1.5899964302123888</v>
      </c>
      <c r="AE29" s="14">
        <v>1.2608241094518691</v>
      </c>
      <c r="AF29" s="55">
        <v>1</v>
      </c>
      <c r="AG29" s="14" t="str">
        <v/>
      </c>
      <c r="AH29" s="14" t="str">
        <v/>
      </c>
      <c r="AI29" s="14" t="str">
        <v/>
      </c>
      <c r="AJ29" s="14" t="str">
        <v/>
      </c>
      <c r="AK29" s="14" t="str">
        <v/>
      </c>
      <c r="AL29" s="14" t="str">
        <v/>
      </c>
      <c r="AM29" s="14" t="str">
        <v/>
      </c>
      <c r="AN29" s="14" t="str">
        <v/>
      </c>
      <c r="AO29" s="14" t="str">
        <v/>
      </c>
      <c r="AP29" s="14" t="str">
        <v/>
      </c>
      <c r="AQ29" s="14" t="str">
        <v/>
      </c>
      <c r="AR29" s="14" t="str">
        <v/>
      </c>
      <c r="AS29" s="14" t="str">
        <v/>
      </c>
      <c r="AT29" s="14" t="str">
        <v/>
      </c>
      <c r="AU29" s="14" t="str">
        <v/>
      </c>
      <c r="AV29" s="14" t="str">
        <v/>
      </c>
      <c r="AW29" s="14" t="str">
        <v/>
      </c>
      <c r="AX29" s="14" t="str">
        <v/>
      </c>
    </row>
    <row r="30" spans="1:50" hidden="1">
      <c r="A30" s="39">
        <v>23</v>
      </c>
      <c r="B30" s="11">
        <v>0.57330000000000003</v>
      </c>
      <c r="C30" s="11">
        <f>+PI()*(Cond_Dia_Area[[#This Row],[Dia '[mm']]]/2)^2</f>
        <v>0.25813908416453157</v>
      </c>
      <c r="E30" s="45">
        <v>23</v>
      </c>
      <c r="F30" s="77">
        <f t="shared" si="0"/>
        <v>0.25813908416453157</v>
      </c>
      <c r="G30" s="38">
        <v>415.35478024974913</v>
      </c>
      <c r="H30" s="38">
        <v>329.39749000898729</v>
      </c>
      <c r="I30" s="38">
        <v>261.21167611359732</v>
      </c>
      <c r="J30" s="38">
        <v>207.14806046218169</v>
      </c>
      <c r="K30" s="38">
        <v>164.27611051218733</v>
      </c>
      <c r="L30" s="38">
        <v>130.27755638744648</v>
      </c>
      <c r="M30" s="38">
        <v>103.31323596540012</v>
      </c>
      <c r="N30" s="38">
        <v>81.93202210866859</v>
      </c>
      <c r="O30" s="38">
        <v>64.974903893046957</v>
      </c>
      <c r="P30" s="38">
        <v>51.527505326040121</v>
      </c>
      <c r="Q30" s="38">
        <v>40.863604661765677</v>
      </c>
      <c r="R30" s="38">
        <v>32.406338593974084</v>
      </c>
      <c r="S30" s="38">
        <v>25.699045911574878</v>
      </c>
      <c r="T30" s="38">
        <v>20.379720426591916</v>
      </c>
      <c r="U30" s="38">
        <v>16.162279280168196</v>
      </c>
      <c r="V30" s="38">
        <v>12.81747408494811</v>
      </c>
      <c r="W30" s="38">
        <v>10.164674184110529</v>
      </c>
      <c r="X30" s="38">
        <v>8.060924312924012</v>
      </c>
      <c r="Y30" s="38">
        <v>6.3925267763946083</v>
      </c>
      <c r="Z30" s="38">
        <v>5.069370461311852</v>
      </c>
      <c r="AA30" s="14">
        <v>4.0202593222702356</v>
      </c>
      <c r="AB30" s="14">
        <v>3.1884640379071119</v>
      </c>
      <c r="AC30" s="14">
        <v>2.528393990754759</v>
      </c>
      <c r="AD30" s="14">
        <v>2.00509156687672</v>
      </c>
      <c r="AE30" s="14">
        <v>1.5899833113707673</v>
      </c>
      <c r="AF30" s="55">
        <v>1.2610667098220361</v>
      </c>
      <c r="AG30" s="14">
        <v>1</v>
      </c>
      <c r="AH30" s="14" t="str">
        <v/>
      </c>
      <c r="AI30" s="14" t="str">
        <v/>
      </c>
      <c r="AJ30" s="14" t="str">
        <v/>
      </c>
      <c r="AK30" s="14" t="str">
        <v/>
      </c>
      <c r="AL30" s="14" t="str">
        <v/>
      </c>
      <c r="AM30" s="14" t="str">
        <v/>
      </c>
      <c r="AN30" s="14" t="str">
        <v/>
      </c>
      <c r="AO30" s="14" t="str">
        <v/>
      </c>
      <c r="AP30" s="14" t="str">
        <v/>
      </c>
      <c r="AQ30" s="14" t="str">
        <v/>
      </c>
      <c r="AR30" s="14" t="str">
        <v/>
      </c>
      <c r="AS30" s="14" t="str">
        <v/>
      </c>
      <c r="AT30" s="14" t="str">
        <v/>
      </c>
      <c r="AU30" s="14" t="str">
        <v/>
      </c>
      <c r="AV30" s="14" t="str">
        <v/>
      </c>
      <c r="AW30" s="14" t="str">
        <v/>
      </c>
      <c r="AX30" s="14" t="str">
        <v/>
      </c>
    </row>
    <row r="31" spans="1:50">
      <c r="A31" s="39">
        <v>24</v>
      </c>
      <c r="B31" s="11">
        <v>0.51060000000000005</v>
      </c>
      <c r="C31" s="11">
        <f>+PI()*(Cond_Dia_Area[[#This Row],[Dia '[mm']]]/2)^2</f>
        <v>0.20476300871901437</v>
      </c>
      <c r="E31" s="46">
        <v>24</v>
      </c>
      <c r="F31" s="76">
        <f t="shared" si="0"/>
        <v>0.20476300871901437</v>
      </c>
      <c r="G31" s="38">
        <v>523.62632903173437</v>
      </c>
      <c r="H31" s="38">
        <v>415.26234122540251</v>
      </c>
      <c r="I31" s="38">
        <v>329.30236406896859</v>
      </c>
      <c r="J31" s="38">
        <v>261.1458531923841</v>
      </c>
      <c r="K31" s="38">
        <v>207.09836695122547</v>
      </c>
      <c r="L31" s="38">
        <v>164.23732637762166</v>
      </c>
      <c r="M31" s="38">
        <v>130.24415044994413</v>
      </c>
      <c r="N31" s="38">
        <v>103.28944316257197</v>
      </c>
      <c r="O31" s="38">
        <v>81.912071372450455</v>
      </c>
      <c r="P31" s="38">
        <v>64.959306455589598</v>
      </c>
      <c r="Q31" s="38">
        <v>51.515620663324128</v>
      </c>
      <c r="R31" s="38">
        <v>40.853778317222854</v>
      </c>
      <c r="S31" s="38">
        <v>32.398079208826154</v>
      </c>
      <c r="T31" s="38">
        <v>25.692152109704345</v>
      </c>
      <c r="U31" s="38">
        <v>20.375340240869289</v>
      </c>
      <c r="V31" s="38">
        <v>16.158636475846411</v>
      </c>
      <c r="W31" s="38">
        <v>12.814324721697123</v>
      </c>
      <c r="X31" s="38">
        <v>10.162185214387225</v>
      </c>
      <c r="Y31" s="38">
        <v>8.0588824020464536</v>
      </c>
      <c r="Z31" s="38">
        <v>6.3908156866824406</v>
      </c>
      <c r="AA31" s="14">
        <v>5.0682301752015126</v>
      </c>
      <c r="AB31" s="14">
        <v>4.0196087749733085</v>
      </c>
      <c r="AC31" s="14">
        <v>3.187476650512465</v>
      </c>
      <c r="AD31" s="14">
        <v>2.5277637009614726</v>
      </c>
      <c r="AE31" s="14">
        <v>2.0044481588828389</v>
      </c>
      <c r="AF31" s="55">
        <v>1.5897920604914935</v>
      </c>
      <c r="AG31" s="14">
        <v>1.2606724514326824</v>
      </c>
      <c r="AH31" s="14">
        <v>1</v>
      </c>
      <c r="AI31" s="14" t="str">
        <v/>
      </c>
      <c r="AJ31" s="14" t="str">
        <v/>
      </c>
      <c r="AK31" s="14" t="str">
        <v/>
      </c>
      <c r="AL31" s="14" t="str">
        <v/>
      </c>
      <c r="AM31" s="14" t="str">
        <v/>
      </c>
      <c r="AN31" s="14" t="str">
        <v/>
      </c>
      <c r="AO31" s="14" t="str">
        <v/>
      </c>
      <c r="AP31" s="14" t="str">
        <v/>
      </c>
      <c r="AQ31" s="14" t="str">
        <v/>
      </c>
      <c r="AR31" s="14" t="str">
        <v/>
      </c>
      <c r="AS31" s="14" t="str">
        <v/>
      </c>
      <c r="AT31" s="14" t="str">
        <v/>
      </c>
      <c r="AU31" s="14" t="str">
        <v/>
      </c>
      <c r="AV31" s="14" t="str">
        <v/>
      </c>
      <c r="AW31" s="14" t="str">
        <v/>
      </c>
      <c r="AX31" s="14" t="str">
        <v/>
      </c>
    </row>
    <row r="32" spans="1:50" hidden="1">
      <c r="A32" s="39">
        <v>25</v>
      </c>
      <c r="B32" s="11">
        <v>0.45469999999999999</v>
      </c>
      <c r="C32" s="11">
        <f>+PI()*(Cond_Dia_Area[[#This Row],[Dia '[mm']]]/2)^2</f>
        <v>0.16238271176458394</v>
      </c>
      <c r="E32" s="45">
        <v>25</v>
      </c>
      <c r="F32" s="77">
        <f t="shared" si="0"/>
        <v>0.16238271176458394</v>
      </c>
      <c r="G32" s="38">
        <v>660.28767109440093</v>
      </c>
      <c r="H32" s="38">
        <v>523.64174408103918</v>
      </c>
      <c r="I32" s="38">
        <v>415.2470550116326</v>
      </c>
      <c r="J32" s="38">
        <v>329.30236250574302</v>
      </c>
      <c r="K32" s="38">
        <v>261.14901184312089</v>
      </c>
      <c r="L32" s="38">
        <v>207.10165957693582</v>
      </c>
      <c r="M32" s="38">
        <v>164.236597753377</v>
      </c>
      <c r="N32" s="38">
        <v>130.24697593141624</v>
      </c>
      <c r="O32" s="38">
        <v>103.29031953195732</v>
      </c>
      <c r="P32" s="38">
        <v>81.913049053095421</v>
      </c>
      <c r="Q32" s="38">
        <v>64.960692972922303</v>
      </c>
      <c r="R32" s="38">
        <v>51.516214225452323</v>
      </c>
      <c r="S32" s="38">
        <v>40.853660487785156</v>
      </c>
      <c r="T32" s="38">
        <v>32.397552111806938</v>
      </c>
      <c r="U32" s="38">
        <v>25.693104432463056</v>
      </c>
      <c r="V32" s="38">
        <v>20.37588229458769</v>
      </c>
      <c r="W32" s="38">
        <v>16.158737935853516</v>
      </c>
      <c r="X32" s="38">
        <v>12.814415999373935</v>
      </c>
      <c r="Y32" s="38">
        <v>10.162171758457193</v>
      </c>
      <c r="Z32" s="38">
        <v>8.0587559719468853</v>
      </c>
      <c r="AA32" s="14">
        <v>6.3909885989544284</v>
      </c>
      <c r="AB32" s="14">
        <v>5.0686872863050629</v>
      </c>
      <c r="AC32" s="14">
        <v>4.0193768295159673</v>
      </c>
      <c r="AD32" s="14">
        <v>3.1874852631477624</v>
      </c>
      <c r="AE32" s="14">
        <v>2.5275894913565322</v>
      </c>
      <c r="AF32" s="55">
        <v>2.0047122135500541</v>
      </c>
      <c r="AG32" s="14">
        <v>1.5896956108158327</v>
      </c>
      <c r="AH32" s="14">
        <v>1.2609902032912945</v>
      </c>
      <c r="AI32" s="14">
        <v>1</v>
      </c>
      <c r="AJ32" s="14" t="str">
        <v/>
      </c>
      <c r="AK32" s="14" t="str">
        <v/>
      </c>
      <c r="AL32" s="14" t="str">
        <v/>
      </c>
      <c r="AM32" s="14" t="str">
        <v/>
      </c>
      <c r="AN32" s="14" t="str">
        <v/>
      </c>
      <c r="AO32" s="14" t="str">
        <v/>
      </c>
      <c r="AP32" s="14" t="str">
        <v/>
      </c>
      <c r="AQ32" s="14" t="str">
        <v/>
      </c>
      <c r="AR32" s="14" t="str">
        <v/>
      </c>
      <c r="AS32" s="14" t="str">
        <v/>
      </c>
      <c r="AT32" s="14" t="str">
        <v/>
      </c>
      <c r="AU32" s="14" t="str">
        <v/>
      </c>
      <c r="AV32" s="14" t="str">
        <v/>
      </c>
      <c r="AW32" s="14" t="str">
        <v/>
      </c>
      <c r="AX32" s="14" t="str">
        <v/>
      </c>
    </row>
    <row r="33" spans="1:50" ht="15" thickBot="1">
      <c r="A33" s="39">
        <v>26</v>
      </c>
      <c r="B33" s="11">
        <v>0.40489999999999998</v>
      </c>
      <c r="C33" s="11">
        <f>+PI()*(Cond_Dia_Area[[#This Row],[Dia '[mm']]]/2)^2</f>
        <v>0.12876132435401288</v>
      </c>
      <c r="E33" s="48">
        <v>26</v>
      </c>
      <c r="F33" s="78">
        <f t="shared" si="0"/>
        <v>0.12876132435401288</v>
      </c>
      <c r="G33" s="56">
        <v>832.698041239811</v>
      </c>
      <c r="H33" s="56">
        <v>660.37194649563583</v>
      </c>
      <c r="I33" s="56">
        <v>523.6738840900623</v>
      </c>
      <c r="J33" s="56">
        <v>415.28782716733599</v>
      </c>
      <c r="K33" s="56">
        <v>329.33868093137409</v>
      </c>
      <c r="L33" s="56">
        <v>261.1788070817592</v>
      </c>
      <c r="M33" s="56">
        <v>207.12107651874567</v>
      </c>
      <c r="N33" s="56">
        <v>164.25628780215882</v>
      </c>
      <c r="O33" s="56">
        <v>130.26087040325535</v>
      </c>
      <c r="P33" s="56">
        <v>103.30169482861864</v>
      </c>
      <c r="Q33" s="56">
        <v>81.922840852800917</v>
      </c>
      <c r="R33" s="56">
        <v>64.967820172264908</v>
      </c>
      <c r="S33" s="56">
        <v>51.521124132562093</v>
      </c>
      <c r="T33" s="56">
        <v>40.857007279497431</v>
      </c>
      <c r="U33" s="56">
        <v>32.401934294519215</v>
      </c>
      <c r="V33" s="56">
        <v>25.696310892968896</v>
      </c>
      <c r="W33" s="56">
        <v>20.378011005098635</v>
      </c>
      <c r="X33" s="56">
        <v>16.160439713533908</v>
      </c>
      <c r="Y33" s="56">
        <v>12.815657308858068</v>
      </c>
      <c r="Z33" s="56">
        <v>10.163010164262786</v>
      </c>
      <c r="AA33" s="57">
        <v>8.0597653430582792</v>
      </c>
      <c r="AB33" s="57">
        <v>6.3921926150275343</v>
      </c>
      <c r="AC33" s="57">
        <v>5.0688924834765237</v>
      </c>
      <c r="AD33" s="57">
        <v>4.0197823635032464</v>
      </c>
      <c r="AE33" s="57">
        <v>3.1875785519702733</v>
      </c>
      <c r="AF33" s="58">
        <v>2.5281706846136074</v>
      </c>
      <c r="AG33" s="14">
        <v>2.0047874271222232</v>
      </c>
      <c r="AH33" s="14">
        <v>1.5902524282527921</v>
      </c>
      <c r="AI33" s="14">
        <v>1.2611140230131008</v>
      </c>
      <c r="AJ33" s="14">
        <v>1</v>
      </c>
      <c r="AK33" s="14" t="str">
        <v/>
      </c>
      <c r="AL33" s="14" t="str">
        <v/>
      </c>
      <c r="AM33" s="14" t="str">
        <v/>
      </c>
      <c r="AN33" s="14" t="str">
        <v/>
      </c>
      <c r="AO33" s="14" t="str">
        <v/>
      </c>
      <c r="AP33" s="14" t="str">
        <v/>
      </c>
      <c r="AQ33" s="14" t="str">
        <v/>
      </c>
      <c r="AR33" s="14" t="str">
        <v/>
      </c>
      <c r="AS33" s="14" t="str">
        <v/>
      </c>
      <c r="AT33" s="14" t="str">
        <v/>
      </c>
      <c r="AU33" s="14" t="str">
        <v/>
      </c>
      <c r="AV33" s="14" t="str">
        <v/>
      </c>
      <c r="AW33" s="14" t="str">
        <v/>
      </c>
      <c r="AX33" s="14" t="str">
        <v/>
      </c>
    </row>
    <row r="34" spans="1:50" hidden="1">
      <c r="A34" s="39">
        <v>27</v>
      </c>
      <c r="B34" s="11">
        <v>0.36059999999999998</v>
      </c>
      <c r="C34" s="11">
        <f>+PI()*(Cond_Dia_Area[[#This Row],[Dia '[mm']]]/2)^2</f>
        <v>0.10212717672623581</v>
      </c>
      <c r="E34" s="40">
        <v>27</v>
      </c>
      <c r="F34" s="19">
        <f t="shared" si="0"/>
        <v>0.10212717672623581</v>
      </c>
      <c r="G34" s="14">
        <v>1049.8606346912413</v>
      </c>
      <c r="H34" s="14">
        <v>832.59294071106603</v>
      </c>
      <c r="I34" s="14">
        <v>660.24485358875302</v>
      </c>
      <c r="J34" s="14">
        <v>523.59237108362879</v>
      </c>
      <c r="K34" s="14">
        <v>415.22820934727326</v>
      </c>
      <c r="L34" s="14">
        <v>329.29265422853206</v>
      </c>
      <c r="M34" s="14">
        <v>261.13699574475157</v>
      </c>
      <c r="N34" s="14">
        <v>207.09333038329848</v>
      </c>
      <c r="O34" s="14">
        <v>164.23211452902953</v>
      </c>
      <c r="P34" s="14">
        <v>130.24214964644187</v>
      </c>
      <c r="Q34" s="14">
        <v>103.28782035487167</v>
      </c>
      <c r="R34" s="14">
        <v>81.911033222807006</v>
      </c>
      <c r="S34" s="14">
        <v>64.957520497205479</v>
      </c>
      <c r="T34" s="14">
        <v>51.512266715762138</v>
      </c>
      <c r="U34" s="14">
        <v>40.852162031051357</v>
      </c>
      <c r="V34" s="14">
        <v>32.397752759390059</v>
      </c>
      <c r="W34" s="14">
        <v>25.692472550678929</v>
      </c>
      <c r="X34" s="14">
        <v>20.374984273145547</v>
      </c>
      <c r="Y34" s="14">
        <v>16.157902925087264</v>
      </c>
      <c r="Z34" s="14">
        <v>12.81346151065781</v>
      </c>
      <c r="AA34" s="14">
        <v>10.16170320987791</v>
      </c>
      <c r="AB34" s="14">
        <v>8.0592376390000169</v>
      </c>
      <c r="AC34" s="14">
        <v>6.3908288675219005</v>
      </c>
      <c r="AD34" s="14">
        <v>5.0681171979036597</v>
      </c>
      <c r="AE34" s="14">
        <v>4.0188796850260973</v>
      </c>
      <c r="AF34" s="14">
        <v>3.1875022494400631</v>
      </c>
      <c r="AG34" s="14">
        <v>2.5276238161023921</v>
      </c>
      <c r="AH34" s="14">
        <v>2.0049806063659847</v>
      </c>
      <c r="AI34" s="14">
        <v>1.5900049033948167</v>
      </c>
      <c r="AJ34" s="14">
        <v>1.2607939285267145</v>
      </c>
      <c r="AK34" s="14">
        <v>1</v>
      </c>
      <c r="AL34" s="14" t="str">
        <v/>
      </c>
      <c r="AM34" s="14" t="str">
        <v/>
      </c>
      <c r="AN34" s="14" t="str">
        <v/>
      </c>
      <c r="AO34" s="14" t="str">
        <v/>
      </c>
      <c r="AP34" s="14" t="str">
        <v/>
      </c>
      <c r="AQ34" s="14" t="str">
        <v/>
      </c>
      <c r="AR34" s="14" t="str">
        <v/>
      </c>
      <c r="AS34" s="14" t="str">
        <v/>
      </c>
      <c r="AT34" s="14" t="str">
        <v/>
      </c>
      <c r="AU34" s="14" t="str">
        <v/>
      </c>
      <c r="AV34" s="14" t="str">
        <v/>
      </c>
      <c r="AW34" s="14" t="str">
        <v/>
      </c>
      <c r="AX34" s="14" t="str">
        <v/>
      </c>
    </row>
    <row r="35" spans="1:50">
      <c r="A35" s="39">
        <v>28</v>
      </c>
      <c r="B35" s="11">
        <v>0.3211</v>
      </c>
      <c r="C35" s="11">
        <f>+PI()*(Cond_Dia_Area[[#This Row],[Dia '[mm']]]/2)^2</f>
        <v>8.097864257070822E-2</v>
      </c>
      <c r="E35" s="5">
        <v>28</v>
      </c>
      <c r="F35" s="11">
        <f t="shared" si="0"/>
        <v>8.097864257070822E-2</v>
      </c>
      <c r="G35" s="14">
        <v>1324.0442068834348</v>
      </c>
      <c r="H35" s="14">
        <v>1050.0344744945476</v>
      </c>
      <c r="I35" s="14">
        <v>832.67563772965514</v>
      </c>
      <c r="J35" s="14">
        <v>660.33473662485142</v>
      </c>
      <c r="K35" s="14">
        <v>523.669987190754</v>
      </c>
      <c r="L35" s="14">
        <v>415.29134133958888</v>
      </c>
      <c r="M35" s="14">
        <v>329.33602327176288</v>
      </c>
      <c r="N35" s="14">
        <v>261.17821291474991</v>
      </c>
      <c r="O35" s="14">
        <v>207.12328154901189</v>
      </c>
      <c r="P35" s="14">
        <v>164.25643369525167</v>
      </c>
      <c r="Q35" s="14">
        <v>130.2626612176048</v>
      </c>
      <c r="R35" s="14">
        <v>103.30307226957783</v>
      </c>
      <c r="S35" s="14">
        <v>81.921948367109678</v>
      </c>
      <c r="T35" s="14">
        <v>64.965306893802932</v>
      </c>
      <c r="U35" s="14">
        <v>51.521189278407952</v>
      </c>
      <c r="V35" s="14">
        <v>40.858810626543516</v>
      </c>
      <c r="W35" s="14">
        <v>32.402366863905328</v>
      </c>
      <c r="X35" s="14">
        <v>25.696153375760545</v>
      </c>
      <c r="Y35" s="14">
        <v>20.377731154419838</v>
      </c>
      <c r="Z35" s="14">
        <v>16.159849148263213</v>
      </c>
      <c r="AA35" s="14">
        <v>12.815552676727004</v>
      </c>
      <c r="AB35" s="14">
        <v>10.164003254539709</v>
      </c>
      <c r="AC35" s="14">
        <v>8.059869719483622</v>
      </c>
      <c r="AD35" s="14">
        <v>6.3917161897056403</v>
      </c>
      <c r="AE35" s="14">
        <v>5.0684578402973042</v>
      </c>
      <c r="AF35" s="14">
        <v>4.0199563145257162</v>
      </c>
      <c r="AG35" s="14">
        <v>3.1877427920470751</v>
      </c>
      <c r="AH35" s="14">
        <v>2.5286051015268773</v>
      </c>
      <c r="AI35" s="14">
        <v>2.0052535657509449</v>
      </c>
      <c r="AJ35" s="14">
        <v>1.5900652353067317</v>
      </c>
      <c r="AK35" s="14">
        <v>1.261161875331033</v>
      </c>
      <c r="AL35" s="14">
        <v>1</v>
      </c>
      <c r="AM35" s="14" t="str">
        <v/>
      </c>
      <c r="AN35" s="14" t="str">
        <v/>
      </c>
      <c r="AO35" s="14" t="str">
        <v/>
      </c>
      <c r="AP35" s="14" t="str">
        <v/>
      </c>
      <c r="AQ35" s="14" t="str">
        <v/>
      </c>
      <c r="AR35" s="14" t="str">
        <v/>
      </c>
      <c r="AS35" s="14" t="str">
        <v/>
      </c>
      <c r="AT35" s="14" t="str">
        <v/>
      </c>
      <c r="AU35" s="14" t="str">
        <v/>
      </c>
      <c r="AV35" s="14" t="str">
        <v/>
      </c>
      <c r="AW35" s="14" t="str">
        <v/>
      </c>
      <c r="AX35" s="14" t="str">
        <v/>
      </c>
    </row>
    <row r="36" spans="1:50" hidden="1">
      <c r="A36" s="39">
        <v>29</v>
      </c>
      <c r="B36" s="11">
        <v>0.28589999999999999</v>
      </c>
      <c r="C36" s="11">
        <f>+PI()*(Cond_Dia_Area[[#This Row],[Dia '[mm']]]/2)^2</f>
        <v>6.4197511252292977E-2</v>
      </c>
      <c r="E36" s="40">
        <v>29</v>
      </c>
      <c r="F36" s="19">
        <f t="shared" si="0"/>
        <v>6.4197511252292977E-2</v>
      </c>
      <c r="G36" s="14">
        <v>1670.1473388222803</v>
      </c>
      <c r="H36" s="14">
        <v>1324.5118811981724</v>
      </c>
      <c r="I36" s="14">
        <v>1050.3357767258908</v>
      </c>
      <c r="J36" s="14">
        <v>832.94522748740781</v>
      </c>
      <c r="K36" s="14">
        <v>660.55652143700161</v>
      </c>
      <c r="L36" s="14">
        <v>523.84786321210208</v>
      </c>
      <c r="M36" s="14">
        <v>415.42395638008435</v>
      </c>
      <c r="N36" s="14">
        <v>329.44979857181681</v>
      </c>
      <c r="O36" s="14">
        <v>261.26499076754357</v>
      </c>
      <c r="P36" s="14">
        <v>207.1928144048097</v>
      </c>
      <c r="Q36" s="14">
        <v>164.31312175941881</v>
      </c>
      <c r="R36" s="14">
        <v>130.3063374668655</v>
      </c>
      <c r="S36" s="14">
        <v>103.3362204563536</v>
      </c>
      <c r="T36" s="14">
        <v>81.947138819368661</v>
      </c>
      <c r="U36" s="14">
        <v>64.988749408022954</v>
      </c>
      <c r="V36" s="14">
        <v>51.53924127351501</v>
      </c>
      <c r="W36" s="14">
        <v>40.872296036607338</v>
      </c>
      <c r="X36" s="14">
        <v>32.413088592799433</v>
      </c>
      <c r="Y36" s="14">
        <v>25.70443893176326</v>
      </c>
      <c r="Z36" s="14">
        <v>20.384009016035343</v>
      </c>
      <c r="AA36" s="14">
        <v>16.165518558442432</v>
      </c>
      <c r="AB36" s="14">
        <v>12.820858170066339</v>
      </c>
      <c r="AC36" s="14">
        <v>10.166707345017624</v>
      </c>
      <c r="AD36" s="14">
        <v>8.0625010322513848</v>
      </c>
      <c r="AE36" s="14">
        <v>6.3933449728470482</v>
      </c>
      <c r="AF36" s="14">
        <v>5.0707667508249763</v>
      </c>
      <c r="AG36" s="14">
        <v>4.0210138855703921</v>
      </c>
      <c r="AH36" s="14">
        <v>3.189578610209765</v>
      </c>
      <c r="AI36" s="14">
        <v>2.5294237829006812</v>
      </c>
      <c r="AJ36" s="14">
        <v>2.0057058574745583</v>
      </c>
      <c r="AK36" s="14">
        <v>1.5908276619148234</v>
      </c>
      <c r="AL36" s="14">
        <v>1.2613984715461359</v>
      </c>
      <c r="AM36" s="14">
        <v>1</v>
      </c>
      <c r="AN36" s="14" t="str">
        <v/>
      </c>
      <c r="AO36" s="14" t="str">
        <v/>
      </c>
      <c r="AP36" s="14" t="str">
        <v/>
      </c>
      <c r="AQ36" s="14" t="str">
        <v/>
      </c>
      <c r="AR36" s="14" t="str">
        <v/>
      </c>
      <c r="AS36" s="14" t="str">
        <v/>
      </c>
      <c r="AT36" s="14" t="str">
        <v/>
      </c>
      <c r="AU36" s="14" t="str">
        <v/>
      </c>
      <c r="AV36" s="14" t="str">
        <v/>
      </c>
      <c r="AW36" s="14" t="str">
        <v/>
      </c>
      <c r="AX36" s="14" t="str">
        <v/>
      </c>
    </row>
    <row r="37" spans="1:50">
      <c r="A37" s="39">
        <v>30</v>
      </c>
      <c r="B37" s="11">
        <v>0.25459999999999999</v>
      </c>
      <c r="C37" s="11">
        <f>+PI()*(Cond_Dia_Area[[#This Row],[Dia '[mm']]]/2)^2</f>
        <v>5.0910420013292143E-2</v>
      </c>
      <c r="E37" s="5">
        <v>30</v>
      </c>
      <c r="F37" s="11">
        <f t="shared" si="0"/>
        <v>5.0910420013292143E-2</v>
      </c>
      <c r="G37" s="14">
        <v>2106.038460280562</v>
      </c>
      <c r="H37" s="14">
        <v>1670.1957354666281</v>
      </c>
      <c r="I37" s="14">
        <v>1324.4625133212674</v>
      </c>
      <c r="J37" s="14">
        <v>1050.3352869649354</v>
      </c>
      <c r="K37" s="14">
        <v>832.9549178077034</v>
      </c>
      <c r="L37" s="14">
        <v>660.56671864557802</v>
      </c>
      <c r="M37" s="14">
        <v>523.84529743065377</v>
      </c>
      <c r="N37" s="14">
        <v>415.43277673525131</v>
      </c>
      <c r="O37" s="14">
        <v>329.45244176438672</v>
      </c>
      <c r="P37" s="14">
        <v>261.26798857039893</v>
      </c>
      <c r="Q37" s="14">
        <v>207.19714118044166</v>
      </c>
      <c r="R37" s="14">
        <v>164.31493913407286</v>
      </c>
      <c r="S37" s="14">
        <v>130.30590149883156</v>
      </c>
      <c r="T37" s="14">
        <v>103.33449154566192</v>
      </c>
      <c r="U37" s="14">
        <v>81.950138504155134</v>
      </c>
      <c r="V37" s="14">
        <v>64.990448335080714</v>
      </c>
      <c r="W37" s="14">
        <v>51.539541100467808</v>
      </c>
      <c r="X37" s="14">
        <v>40.872568309484116</v>
      </c>
      <c r="Y37" s="14">
        <v>32.413030714044609</v>
      </c>
      <c r="Z37" s="14">
        <v>25.704023809509113</v>
      </c>
      <c r="AA37" s="14">
        <v>20.384551124972148</v>
      </c>
      <c r="AB37" s="14">
        <v>16.166969088489008</v>
      </c>
      <c r="AC37" s="14">
        <v>12.820112444763407</v>
      </c>
      <c r="AD37" s="14">
        <v>10.166730123311583</v>
      </c>
      <c r="AE37" s="14">
        <v>8.0619416560888446</v>
      </c>
      <c r="AF37" s="14">
        <v>6.394184244774392</v>
      </c>
      <c r="AG37" s="14">
        <v>5.070456776768574</v>
      </c>
      <c r="AH37" s="14">
        <v>4.0220255237641531</v>
      </c>
      <c r="AI37" s="14">
        <v>3.1895771380826878</v>
      </c>
      <c r="AJ37" s="14">
        <v>2.529174269636643</v>
      </c>
      <c r="AK37" s="14">
        <v>2.0060171709361567</v>
      </c>
      <c r="AL37" s="14">
        <v>1.5906103809311649</v>
      </c>
      <c r="AM37" s="14">
        <v>1.2609896212903315</v>
      </c>
      <c r="AN37" s="14">
        <v>1</v>
      </c>
      <c r="AO37" s="14" t="str">
        <v/>
      </c>
      <c r="AP37" s="14" t="str">
        <v/>
      </c>
      <c r="AQ37" s="14" t="str">
        <v/>
      </c>
      <c r="AR37" s="14" t="str">
        <v/>
      </c>
      <c r="AS37" s="14" t="str">
        <v/>
      </c>
      <c r="AT37" s="14" t="str">
        <v/>
      </c>
      <c r="AU37" s="14" t="str">
        <v/>
      </c>
      <c r="AV37" s="14" t="str">
        <v/>
      </c>
      <c r="AW37" s="14" t="str">
        <v/>
      </c>
      <c r="AX37" s="14" t="str">
        <v/>
      </c>
    </row>
    <row r="38" spans="1:50" hidden="1">
      <c r="A38" s="39">
        <v>31</v>
      </c>
      <c r="B38" s="11">
        <v>0.2268</v>
      </c>
      <c r="C38" s="11">
        <f>+PI()*(Cond_Dia_Area[[#This Row],[Dia '[mm']]]/2)^2</f>
        <v>4.0399499224397159E-2</v>
      </c>
      <c r="E38" s="40">
        <v>31</v>
      </c>
      <c r="F38" s="19">
        <f t="shared" si="0"/>
        <v>4.0399499224397159E-2</v>
      </c>
      <c r="G38" s="14">
        <v>2653.9760302840841</v>
      </c>
      <c r="H38" s="14">
        <v>2104.7381286762529</v>
      </c>
      <c r="I38" s="14">
        <v>1669.053927389429</v>
      </c>
      <c r="J38" s="14">
        <v>1323.6057783081226</v>
      </c>
      <c r="K38" s="14">
        <v>1049.6685734193084</v>
      </c>
      <c r="L38" s="14">
        <v>832.42935528120711</v>
      </c>
      <c r="M38" s="14">
        <v>660.13650233756061</v>
      </c>
      <c r="N38" s="14">
        <v>523.51780484713322</v>
      </c>
      <c r="O38" s="14">
        <v>415.16757649561879</v>
      </c>
      <c r="P38" s="14">
        <v>329.24326512726719</v>
      </c>
      <c r="Q38" s="14">
        <v>261.10456034265559</v>
      </c>
      <c r="R38" s="14">
        <v>207.06550146350261</v>
      </c>
      <c r="S38" s="14">
        <v>164.20817839024042</v>
      </c>
      <c r="T38" s="14">
        <v>130.21949448503679</v>
      </c>
      <c r="U38" s="14">
        <v>103.271477406692</v>
      </c>
      <c r="V38" s="14">
        <v>81.899307791246372</v>
      </c>
      <c r="W38" s="14">
        <v>64.948817066835886</v>
      </c>
      <c r="X38" s="14">
        <v>51.506569626021417</v>
      </c>
      <c r="Y38" s="14">
        <v>40.846075798860923</v>
      </c>
      <c r="Z38" s="14">
        <v>32.391556165218717</v>
      </c>
      <c r="AA38" s="14">
        <v>25.688092166450481</v>
      </c>
      <c r="AB38" s="14">
        <v>20.373202699003702</v>
      </c>
      <c r="AC38" s="14">
        <v>16.155579195555681</v>
      </c>
      <c r="AD38" s="14">
        <v>12.811854371378178</v>
      </c>
      <c r="AE38" s="14">
        <v>10.159453550510282</v>
      </c>
      <c r="AF38" s="14">
        <v>8.0577881358304655</v>
      </c>
      <c r="AG38" s="14">
        <v>6.3896604938271615</v>
      </c>
      <c r="AH38" s="14">
        <v>5.0684541306234436</v>
      </c>
      <c r="AI38" s="14">
        <v>4.019423876089073</v>
      </c>
      <c r="AJ38" s="14">
        <v>3.1872010006563207</v>
      </c>
      <c r="AK38" s="14">
        <v>2.5279317488312194</v>
      </c>
      <c r="AL38" s="14">
        <v>2.0044466917997195</v>
      </c>
      <c r="AM38" s="14">
        <v>1.5890670054029843</v>
      </c>
      <c r="AN38" s="14">
        <v>1.2601745316324977</v>
      </c>
      <c r="AO38" s="14">
        <v>1</v>
      </c>
      <c r="AP38" s="14" t="str">
        <v/>
      </c>
      <c r="AQ38" s="14" t="str">
        <v/>
      </c>
      <c r="AR38" s="14" t="str">
        <v/>
      </c>
      <c r="AS38" s="14" t="str">
        <v/>
      </c>
      <c r="AT38" s="14" t="str">
        <v/>
      </c>
      <c r="AU38" s="14" t="str">
        <v/>
      </c>
      <c r="AV38" s="14" t="str">
        <v/>
      </c>
      <c r="AW38" s="14" t="str">
        <v/>
      </c>
      <c r="AX38" s="14" t="str">
        <v/>
      </c>
    </row>
    <row r="39" spans="1:50">
      <c r="A39" s="39">
        <v>32</v>
      </c>
      <c r="B39" s="11">
        <v>0.2019</v>
      </c>
      <c r="C39" s="11">
        <f>+PI()*(Cond_Dia_Area[[#This Row],[Dia '[mm']]]/2)^2</f>
        <v>3.2015664427449853E-2</v>
      </c>
      <c r="E39" s="5">
        <v>32</v>
      </c>
      <c r="F39" s="11">
        <f t="shared" si="0"/>
        <v>3.2015664427449853E-2</v>
      </c>
      <c r="G39" s="14">
        <v>3348.9638429962411</v>
      </c>
      <c r="H39" s="14">
        <v>2655.8988519417194</v>
      </c>
      <c r="I39" s="14">
        <v>2106.1234883269667</v>
      </c>
      <c r="J39" s="14">
        <v>1670.2139896343824</v>
      </c>
      <c r="K39" s="14">
        <v>1324.5417665412854</v>
      </c>
      <c r="L39" s="14">
        <v>1050.4148420613385</v>
      </c>
      <c r="M39" s="14">
        <v>833.00423686714703</v>
      </c>
      <c r="N39" s="14">
        <v>660.60965871275891</v>
      </c>
      <c r="O39" s="14">
        <v>523.88611901644629</v>
      </c>
      <c r="P39" s="14">
        <v>415.46109606092307</v>
      </c>
      <c r="Q39" s="14">
        <v>329.47913690666752</v>
      </c>
      <c r="R39" s="14">
        <v>261.28905069987667</v>
      </c>
      <c r="S39" s="14">
        <v>207.20882399767837</v>
      </c>
      <c r="T39" s="14">
        <v>164.31963729414542</v>
      </c>
      <c r="U39" s="14">
        <v>130.31483325446402</v>
      </c>
      <c r="V39" s="14">
        <v>103.34600517471347</v>
      </c>
      <c r="W39" s="14">
        <v>81.956746225371134</v>
      </c>
      <c r="X39" s="14">
        <v>64.994422476321404</v>
      </c>
      <c r="Y39" s="14">
        <v>51.542300841363172</v>
      </c>
      <c r="Z39" s="14">
        <v>40.873824472366408</v>
      </c>
      <c r="AA39" s="14">
        <v>32.414946811629292</v>
      </c>
      <c r="AB39" s="14">
        <v>25.708265043257953</v>
      </c>
      <c r="AC39" s="14">
        <v>20.38618660123576</v>
      </c>
      <c r="AD39" s="14">
        <v>16.166851758222588</v>
      </c>
      <c r="AE39" s="14">
        <v>12.819875619455686</v>
      </c>
      <c r="AF39" s="14">
        <v>10.167854122831617</v>
      </c>
      <c r="AG39" s="14">
        <v>8.0628994831419512</v>
      </c>
      <c r="AH39" s="14">
        <v>6.3957132354077579</v>
      </c>
      <c r="AI39" s="14">
        <v>5.0719769421795577</v>
      </c>
      <c r="AJ39" s="14">
        <v>4.0218226501529184</v>
      </c>
      <c r="AK39" s="14">
        <v>3.1899127677847963</v>
      </c>
      <c r="AL39" s="14">
        <v>2.5293444324484513</v>
      </c>
      <c r="AM39" s="14">
        <v>2.0051906590216126</v>
      </c>
      <c r="AN39" s="14">
        <v>1.5901722148749833</v>
      </c>
      <c r="AO39" s="14">
        <v>1.2618666501813751</v>
      </c>
      <c r="AP39" s="14">
        <v>1</v>
      </c>
      <c r="AQ39" s="14" t="str">
        <v/>
      </c>
      <c r="AR39" s="14" t="str">
        <v/>
      </c>
      <c r="AS39" s="14" t="str">
        <v/>
      </c>
      <c r="AT39" s="14" t="str">
        <v/>
      </c>
      <c r="AU39" s="14" t="str">
        <v/>
      </c>
      <c r="AV39" s="14" t="str">
        <v/>
      </c>
      <c r="AW39" s="14" t="str">
        <v/>
      </c>
      <c r="AX39" s="14" t="str">
        <v/>
      </c>
    </row>
    <row r="40" spans="1:50" hidden="1">
      <c r="A40" s="39">
        <v>33</v>
      </c>
      <c r="B40" s="11">
        <v>0.17979999999999999</v>
      </c>
      <c r="C40" s="11">
        <f>+PI()*(Cond_Dia_Area[[#This Row],[Dia '[mm']]]/2)^2</f>
        <v>2.5390383242239242E-2</v>
      </c>
      <c r="E40" s="40">
        <v>33</v>
      </c>
      <c r="F40" s="19">
        <f t="shared" si="0"/>
        <v>2.5390383242239242E-2</v>
      </c>
      <c r="G40" s="14">
        <v>4222.831201644145</v>
      </c>
      <c r="H40" s="14">
        <v>3348.9201634246924</v>
      </c>
      <c r="I40" s="14">
        <v>2655.6882659759153</v>
      </c>
      <c r="J40" s="14">
        <v>2106.0340091759354</v>
      </c>
      <c r="K40" s="14">
        <v>1670.1632390952252</v>
      </c>
      <c r="L40" s="14">
        <v>1324.5065571559551</v>
      </c>
      <c r="M40" s="14">
        <v>1050.3655600525119</v>
      </c>
      <c r="N40" s="14">
        <v>832.98692064226623</v>
      </c>
      <c r="O40" s="14">
        <v>660.58720046127132</v>
      </c>
      <c r="P40" s="14">
        <v>523.87011677788087</v>
      </c>
      <c r="Q40" s="14">
        <v>415.45231446137785</v>
      </c>
      <c r="R40" s="14">
        <v>329.46893656404779</v>
      </c>
      <c r="S40" s="14">
        <v>261.27719744222048</v>
      </c>
      <c r="T40" s="14">
        <v>207.19665064754929</v>
      </c>
      <c r="U40" s="14">
        <v>164.31874744030264</v>
      </c>
      <c r="V40" s="14">
        <v>130.31276408962626</v>
      </c>
      <c r="W40" s="14">
        <v>103.34226386752802</v>
      </c>
      <c r="X40" s="14">
        <v>81.953848423845059</v>
      </c>
      <c r="Y40" s="14">
        <v>64.991575424925244</v>
      </c>
      <c r="Z40" s="14">
        <v>51.539302722961246</v>
      </c>
      <c r="AA40" s="14">
        <v>40.873193982685002</v>
      </c>
      <c r="AB40" s="14">
        <v>32.41649323621229</v>
      </c>
      <c r="AC40" s="14">
        <v>25.705689550000557</v>
      </c>
      <c r="AD40" s="14">
        <v>20.385375667686624</v>
      </c>
      <c r="AE40" s="14">
        <v>16.165050835126411</v>
      </c>
      <c r="AF40" s="14">
        <v>12.821019771071803</v>
      </c>
      <c r="AG40" s="14">
        <v>10.166805349164381</v>
      </c>
      <c r="AH40" s="14">
        <v>8.064589130674177</v>
      </c>
      <c r="AI40" s="14">
        <v>6.39544154238859</v>
      </c>
      <c r="AJ40" s="14">
        <v>5.0712635223168494</v>
      </c>
      <c r="AK40" s="14">
        <v>4.0222778739447245</v>
      </c>
      <c r="AL40" s="14">
        <v>3.1893430594616938</v>
      </c>
      <c r="AM40" s="14">
        <v>2.5284183637486222</v>
      </c>
      <c r="AN40" s="14">
        <v>2.0051064029863861</v>
      </c>
      <c r="AO40" s="14">
        <v>1.591133888723226</v>
      </c>
      <c r="AP40" s="14">
        <v>1.2609366358121308</v>
      </c>
      <c r="AQ40" s="14">
        <v>1</v>
      </c>
      <c r="AR40" s="14" t="str">
        <v/>
      </c>
      <c r="AS40" s="14" t="str">
        <v/>
      </c>
      <c r="AT40" s="14" t="str">
        <v/>
      </c>
      <c r="AU40" s="14" t="str">
        <v/>
      </c>
      <c r="AV40" s="14" t="str">
        <v/>
      </c>
      <c r="AW40" s="14" t="str">
        <v/>
      </c>
      <c r="AX40" s="14" t="str">
        <v/>
      </c>
    </row>
    <row r="41" spans="1:50" hidden="1">
      <c r="A41" s="39">
        <v>34</v>
      </c>
      <c r="B41" s="11">
        <v>0.16009999999999999</v>
      </c>
      <c r="C41" s="11">
        <f>+PI()*(Cond_Dia_Area[[#This Row],[Dia '[mm']]]/2)^2</f>
        <v>2.0131333578185025E-2</v>
      </c>
      <c r="E41" s="5">
        <v>34</v>
      </c>
      <c r="F41" s="11">
        <f t="shared" si="0"/>
        <v>2.0131333578185025E-2</v>
      </c>
      <c r="G41" s="14">
        <v>5325.9910557150997</v>
      </c>
      <c r="H41" s="14">
        <v>4223.7820990238379</v>
      </c>
      <c r="I41" s="14">
        <v>3349.4523640557268</v>
      </c>
      <c r="J41" s="14">
        <v>2656.208065227815</v>
      </c>
      <c r="K41" s="14">
        <v>2106.471712518839</v>
      </c>
      <c r="L41" s="14">
        <v>1670.5167078196366</v>
      </c>
      <c r="M41" s="14">
        <v>1324.7599325999017</v>
      </c>
      <c r="N41" s="14">
        <v>1050.5939444468072</v>
      </c>
      <c r="O41" s="14">
        <v>833.1570345049023</v>
      </c>
      <c r="P41" s="14">
        <v>660.72438681164692</v>
      </c>
      <c r="Q41" s="14">
        <v>523.9838405181647</v>
      </c>
      <c r="R41" s="14">
        <v>415.53842090417413</v>
      </c>
      <c r="S41" s="14">
        <v>329.53247482347274</v>
      </c>
      <c r="T41" s="14">
        <v>261.32408695221329</v>
      </c>
      <c r="U41" s="14">
        <v>207.2448879350469</v>
      </c>
      <c r="V41" s="14">
        <v>164.35528271095407</v>
      </c>
      <c r="W41" s="14">
        <v>130.33908928718429</v>
      </c>
      <c r="X41" s="14">
        <v>103.36322785454594</v>
      </c>
      <c r="Y41" s="14">
        <v>81.96978114474831</v>
      </c>
      <c r="Z41" s="14">
        <v>65.003276762142335</v>
      </c>
      <c r="AA41" s="14">
        <v>51.550785521697286</v>
      </c>
      <c r="AB41" s="14">
        <v>40.88488144316424</v>
      </c>
      <c r="AC41" s="14">
        <v>32.420967376339199</v>
      </c>
      <c r="AD41" s="14">
        <v>25.710790531058624</v>
      </c>
      <c r="AE41" s="14">
        <v>20.387960600826858</v>
      </c>
      <c r="AF41" s="14">
        <v>16.170344814940385</v>
      </c>
      <c r="AG41" s="14">
        <v>12.822751317590781</v>
      </c>
      <c r="AH41" s="14">
        <v>10.171358391323976</v>
      </c>
      <c r="AI41" s="14">
        <v>8.0661676552092487</v>
      </c>
      <c r="AJ41" s="14">
        <v>6.3960653105238334</v>
      </c>
      <c r="AK41" s="14">
        <v>5.0730457736244645</v>
      </c>
      <c r="AL41" s="14">
        <v>4.0225175473948402</v>
      </c>
      <c r="AM41" s="14">
        <v>3.1889348513830953</v>
      </c>
      <c r="AN41" s="14">
        <v>2.5289144316032965</v>
      </c>
      <c r="AO41" s="14">
        <v>2.0067969698825805</v>
      </c>
      <c r="AP41" s="14">
        <v>1.5903399694366536</v>
      </c>
      <c r="AQ41" s="14">
        <v>1.2612370235498505</v>
      </c>
      <c r="AR41" s="14">
        <v>1</v>
      </c>
      <c r="AS41" s="14" t="str">
        <v/>
      </c>
      <c r="AT41" s="14" t="str">
        <v/>
      </c>
      <c r="AU41" s="14" t="str">
        <v/>
      </c>
      <c r="AV41" s="14" t="str">
        <v/>
      </c>
      <c r="AW41" s="14" t="str">
        <v/>
      </c>
      <c r="AX41" s="14" t="str">
        <v/>
      </c>
    </row>
    <row r="42" spans="1:50" hidden="1">
      <c r="A42" s="39">
        <v>35</v>
      </c>
      <c r="B42" s="11">
        <v>0.1426</v>
      </c>
      <c r="C42" s="11">
        <f>+PI()*(Cond_Dia_Area[[#This Row],[Dia '[mm']]]/2)^2</f>
        <v>1.5970883157127896E-2</v>
      </c>
      <c r="E42" s="40">
        <v>35</v>
      </c>
      <c r="F42" s="19">
        <f t="shared" si="0"/>
        <v>1.5970883157127896E-2</v>
      </c>
      <c r="G42" s="14">
        <v>6713.4235171696137</v>
      </c>
      <c r="H42" s="14">
        <v>5324.0866870324498</v>
      </c>
      <c r="I42" s="14">
        <v>4221.9921203889307</v>
      </c>
      <c r="J42" s="14">
        <v>3348.1561469129706</v>
      </c>
      <c r="K42" s="14">
        <v>2655.2122572383446</v>
      </c>
      <c r="L42" s="14">
        <v>2105.6900086354594</v>
      </c>
      <c r="M42" s="14">
        <v>1669.8628279851839</v>
      </c>
      <c r="N42" s="14">
        <v>1324.2759929303322</v>
      </c>
      <c r="O42" s="14">
        <v>1050.1962865556318</v>
      </c>
      <c r="P42" s="14">
        <v>832.84455238222631</v>
      </c>
      <c r="Q42" s="14">
        <v>660.48279104351366</v>
      </c>
      <c r="R42" s="14">
        <v>523.78709952809868</v>
      </c>
      <c r="S42" s="14">
        <v>415.3764140811104</v>
      </c>
      <c r="T42" s="14">
        <v>329.39959015990348</v>
      </c>
      <c r="U42" s="14">
        <v>261.2326400705</v>
      </c>
      <c r="V42" s="14">
        <v>207.17019773038879</v>
      </c>
      <c r="W42" s="14">
        <v>164.29271060981296</v>
      </c>
      <c r="X42" s="14">
        <v>130.28957755095215</v>
      </c>
      <c r="Y42" s="14">
        <v>103.32309060938019</v>
      </c>
      <c r="Z42" s="14">
        <v>81.936774272231389</v>
      </c>
      <c r="AA42" s="14">
        <v>64.979879280601281</v>
      </c>
      <c r="AB42" s="14">
        <v>51.535483575906483</v>
      </c>
      <c r="AC42" s="14">
        <v>40.866701156050034</v>
      </c>
      <c r="AD42" s="14">
        <v>32.408508386624668</v>
      </c>
      <c r="AE42" s="14">
        <v>25.699069475125352</v>
      </c>
      <c r="AF42" s="14">
        <v>20.382755439454414</v>
      </c>
      <c r="AG42" s="14">
        <v>16.163106424663976</v>
      </c>
      <c r="AH42" s="14">
        <v>12.8210197710718</v>
      </c>
      <c r="AI42" s="14">
        <v>10.167422187426849</v>
      </c>
      <c r="AJ42" s="14">
        <v>8.0622544844394515</v>
      </c>
      <c r="AK42" s="14">
        <v>6.3945854290879254</v>
      </c>
      <c r="AL42" s="14">
        <v>5.0703922741158491</v>
      </c>
      <c r="AM42" s="14">
        <v>4.0196594402884518</v>
      </c>
      <c r="AN42" s="14">
        <v>3.1877022399084134</v>
      </c>
      <c r="AO42" s="14">
        <v>2.5295720234711401</v>
      </c>
      <c r="AP42" s="14">
        <v>2.0046270523969789</v>
      </c>
      <c r="AQ42" s="14">
        <v>1.5897920604914932</v>
      </c>
      <c r="AR42" s="14">
        <v>1.2605022139430215</v>
      </c>
      <c r="AS42" s="14">
        <v>1</v>
      </c>
      <c r="AT42" s="14" t="str">
        <v/>
      </c>
      <c r="AU42" s="14" t="str">
        <v/>
      </c>
      <c r="AV42" s="14" t="str">
        <v/>
      </c>
      <c r="AW42" s="14" t="str">
        <v/>
      </c>
      <c r="AX42" s="14" t="str">
        <v/>
      </c>
    </row>
    <row r="43" spans="1:50" hidden="1">
      <c r="A43" s="39">
        <v>36</v>
      </c>
      <c r="B43" s="11">
        <v>0.127</v>
      </c>
      <c r="C43" s="11">
        <f>+PI()*(Cond_Dia_Area[[#This Row],[Dia '[mm']]]/2)^2</f>
        <v>1.2667686977437444E-2</v>
      </c>
      <c r="E43" s="5">
        <v>36</v>
      </c>
      <c r="F43" s="11">
        <f t="shared" si="0"/>
        <v>1.2667686977437444E-2</v>
      </c>
      <c r="G43" s="14">
        <v>8463.9999999999982</v>
      </c>
      <c r="H43" s="14">
        <v>6712.3829747659483</v>
      </c>
      <c r="I43" s="14">
        <v>5322.9088281976565</v>
      </c>
      <c r="J43" s="14">
        <v>4221.2134472068938</v>
      </c>
      <c r="K43" s="14">
        <v>3347.5791431582861</v>
      </c>
      <c r="L43" s="14">
        <v>2654.7647690495378</v>
      </c>
      <c r="M43" s="14">
        <v>2105.292320664641</v>
      </c>
      <c r="N43" s="14">
        <v>1669.5910775621553</v>
      </c>
      <c r="O43" s="14">
        <v>1324.0429933659864</v>
      </c>
      <c r="P43" s="14">
        <v>1050.0151336102672</v>
      </c>
      <c r="Q43" s="14">
        <v>832.7087258974517</v>
      </c>
      <c r="R43" s="14">
        <v>660.36858825717638</v>
      </c>
      <c r="S43" s="14">
        <v>523.68898815797627</v>
      </c>
      <c r="T43" s="14">
        <v>415.29305040610069</v>
      </c>
      <c r="U43" s="14">
        <v>329.35104718209436</v>
      </c>
      <c r="V43" s="14">
        <v>261.19140988281981</v>
      </c>
      <c r="W43" s="14">
        <v>207.13329034658071</v>
      </c>
      <c r="X43" s="14">
        <v>164.26358050716098</v>
      </c>
      <c r="Y43" s="14">
        <v>130.26537603075204</v>
      </c>
      <c r="Z43" s="14">
        <v>103.30241428482856</v>
      </c>
      <c r="AA43" s="14">
        <v>81.923879347758671</v>
      </c>
      <c r="AB43" s="14">
        <v>64.973754727509458</v>
      </c>
      <c r="AC43" s="14">
        <v>51.523005766011529</v>
      </c>
      <c r="AD43" s="14">
        <v>40.859274598549185</v>
      </c>
      <c r="AE43" s="14">
        <v>32.40029822059644</v>
      </c>
      <c r="AF43" s="14">
        <v>25.697714675429353</v>
      </c>
      <c r="AG43" s="14">
        <v>20.377759935519872</v>
      </c>
      <c r="AH43" s="14">
        <v>16.164198648397296</v>
      </c>
      <c r="AI43" s="14">
        <v>12.818655217310434</v>
      </c>
      <c r="AJ43" s="14">
        <v>10.164548949097897</v>
      </c>
      <c r="AK43" s="14">
        <v>8.0620224440448869</v>
      </c>
      <c r="AL43" s="14">
        <v>6.3925358050716099</v>
      </c>
      <c r="AM43" s="14">
        <v>5.0678163556327105</v>
      </c>
      <c r="AN43" s="14">
        <v>4.0189199578399153</v>
      </c>
      <c r="AO43" s="14">
        <v>3.1891772583545164</v>
      </c>
      <c r="AP43" s="14">
        <v>2.5273488746977488</v>
      </c>
      <c r="AQ43" s="14">
        <v>2.0043424886849772</v>
      </c>
      <c r="AR43" s="14">
        <v>1.5891877983755964</v>
      </c>
      <c r="AS43" s="14">
        <v>1.260757641515283</v>
      </c>
      <c r="AT43" s="14">
        <v>1</v>
      </c>
      <c r="AU43" s="14" t="str">
        <v/>
      </c>
      <c r="AV43" s="14" t="str">
        <v/>
      </c>
      <c r="AW43" s="14" t="str">
        <v/>
      </c>
      <c r="AX43" s="14" t="str">
        <v/>
      </c>
    </row>
    <row r="44" spans="1:50" hidden="1">
      <c r="A44" s="39">
        <v>37</v>
      </c>
      <c r="B44" s="11">
        <v>0.11310000000000001</v>
      </c>
      <c r="C44" s="11">
        <f>+PI()*(Cond_Dia_Area[[#This Row],[Dia '[mm']]]/2)^2</f>
        <v>1.0046507000896435E-2</v>
      </c>
      <c r="E44" s="40">
        <v>37</v>
      </c>
      <c r="F44" s="19">
        <f t="shared" si="0"/>
        <v>1.0046507000896435E-2</v>
      </c>
      <c r="G44" s="14">
        <v>10672.296606916561</v>
      </c>
      <c r="H44" s="14">
        <v>8463.6746273533954</v>
      </c>
      <c r="I44" s="14">
        <v>6711.6802724598392</v>
      </c>
      <c r="J44" s="14">
        <v>5322.5474893308965</v>
      </c>
      <c r="K44" s="14">
        <v>4220.9779691532176</v>
      </c>
      <c r="L44" s="14">
        <v>3347.4051319575869</v>
      </c>
      <c r="M44" s="14">
        <v>2654.5727895081222</v>
      </c>
      <c r="N44" s="14">
        <v>2105.1950841215453</v>
      </c>
      <c r="O44" s="14">
        <v>1669.4919122768747</v>
      </c>
      <c r="P44" s="14">
        <v>1323.9689210349595</v>
      </c>
      <c r="Q44" s="14">
        <v>1049.9662700785905</v>
      </c>
      <c r="R44" s="14">
        <v>832.66179628678458</v>
      </c>
      <c r="S44" s="14">
        <v>660.32185862452013</v>
      </c>
      <c r="T44" s="14">
        <v>523.64492116316853</v>
      </c>
      <c r="U44" s="14">
        <v>415.28025322848333</v>
      </c>
      <c r="V44" s="14">
        <v>329.33745243952876</v>
      </c>
      <c r="W44" s="14">
        <v>261.17532038578412</v>
      </c>
      <c r="X44" s="14">
        <v>207.12070568130198</v>
      </c>
      <c r="Y44" s="14">
        <v>164.25221297397275</v>
      </c>
      <c r="Z44" s="14">
        <v>130.25449024790464</v>
      </c>
      <c r="AA44" s="14">
        <v>103.29819702132879</v>
      </c>
      <c r="AB44" s="14">
        <v>81.925706771860618</v>
      </c>
      <c r="AC44" s="14">
        <v>64.965595417621373</v>
      </c>
      <c r="AD44" s="14">
        <v>51.519647644041662</v>
      </c>
      <c r="AE44" s="14">
        <v>40.85368534531618</v>
      </c>
      <c r="AF44" s="14">
        <v>32.402366863905321</v>
      </c>
      <c r="AG44" s="14">
        <v>25.694411414982163</v>
      </c>
      <c r="AH44" s="14">
        <v>20.381512569567082</v>
      </c>
      <c r="AI44" s="14">
        <v>16.163101439146438</v>
      </c>
      <c r="AJ44" s="14">
        <v>12.81652661392897</v>
      </c>
      <c r="AK44" s="14">
        <v>10.165441254072002</v>
      </c>
      <c r="AL44" s="14">
        <v>8.0603778570484863</v>
      </c>
      <c r="AM44" s="14">
        <v>6.3900329981917823</v>
      </c>
      <c r="AN44" s="14">
        <v>5.0674746963048429</v>
      </c>
      <c r="AO44" s="14">
        <v>4.0212483025983428</v>
      </c>
      <c r="AP44" s="14">
        <v>3.1867458435646481</v>
      </c>
      <c r="AQ44" s="14">
        <v>2.5272846811308343</v>
      </c>
      <c r="AR44" s="14">
        <v>2.0038142188512618</v>
      </c>
      <c r="AS44" s="14">
        <v>1.5896951204734975</v>
      </c>
      <c r="AT44" s="14">
        <v>1.260904608567647</v>
      </c>
      <c r="AU44" s="14">
        <v>1</v>
      </c>
      <c r="AV44" s="14" t="str">
        <v/>
      </c>
      <c r="AW44" s="14" t="str">
        <v/>
      </c>
      <c r="AX44" s="14" t="str">
        <v/>
      </c>
    </row>
    <row r="45" spans="1:50" hidden="1">
      <c r="A45" s="39">
        <v>38</v>
      </c>
      <c r="B45" s="11">
        <v>0.1007</v>
      </c>
      <c r="C45" s="11">
        <f>+PI()*(Cond_Dia_Area[[#This Row],[Dia '[mm']]]/2)^2</f>
        <v>7.9643222219501902E-3</v>
      </c>
      <c r="E45" s="5">
        <v>38</v>
      </c>
      <c r="F45" s="11">
        <f t="shared" si="0"/>
        <v>7.9643222219501902E-3</v>
      </c>
      <c r="G45" s="14">
        <v>13462.451617229541</v>
      </c>
      <c r="H45" s="14">
        <v>10676.40962123132</v>
      </c>
      <c r="I45" s="14">
        <v>8466.3755390518618</v>
      </c>
      <c r="J45" s="14">
        <v>6714.0692106594461</v>
      </c>
      <c r="K45" s="14">
        <v>5324.5064094535865</v>
      </c>
      <c r="L45" s="14">
        <v>4222.5475258098968</v>
      </c>
      <c r="M45" s="14">
        <v>3348.5817588696405</v>
      </c>
      <c r="N45" s="14">
        <v>2655.5752720036216</v>
      </c>
      <c r="O45" s="14">
        <v>2105.9622799292733</v>
      </c>
      <c r="P45" s="14">
        <v>1670.1060885617956</v>
      </c>
      <c r="Q45" s="14">
        <v>1324.4684467910329</v>
      </c>
      <c r="R45" s="14">
        <v>1050.3520993561453</v>
      </c>
      <c r="S45" s="14">
        <v>832.95577334034158</v>
      </c>
      <c r="T45" s="14">
        <v>660.54614816443768</v>
      </c>
      <c r="U45" s="14">
        <v>523.85072516219634</v>
      </c>
      <c r="V45" s="14">
        <v>415.43912079199339</v>
      </c>
      <c r="W45" s="14">
        <v>329.45674617301535</v>
      </c>
      <c r="X45" s="14">
        <v>261.27014473659557</v>
      </c>
      <c r="Y45" s="14">
        <v>207.19415432587579</v>
      </c>
      <c r="Z45" s="14">
        <v>164.30809950998423</v>
      </c>
      <c r="AA45" s="14">
        <v>130.30437878248486</v>
      </c>
      <c r="AB45" s="14">
        <v>103.34428513809492</v>
      </c>
      <c r="AC45" s="14">
        <v>81.95013850415512</v>
      </c>
      <c r="AD45" s="14">
        <v>64.988895013949019</v>
      </c>
      <c r="AE45" s="14">
        <v>51.534433740381381</v>
      </c>
      <c r="AF45" s="14">
        <v>40.873610644061586</v>
      </c>
      <c r="AG45" s="14">
        <v>32.411933742846749</v>
      </c>
      <c r="AH45" s="14">
        <v>25.710035708333624</v>
      </c>
      <c r="AI45" s="14">
        <v>20.3887672094741</v>
      </c>
      <c r="AJ45" s="14">
        <v>16.16726706500376</v>
      </c>
      <c r="AK45" s="14">
        <v>12.823084486055407</v>
      </c>
      <c r="AL45" s="14">
        <v>10.167675329298683</v>
      </c>
      <c r="AM45" s="14">
        <v>8.0606371092521165</v>
      </c>
      <c r="AN45" s="14">
        <v>6.3923104307582772</v>
      </c>
      <c r="AO45" s="14">
        <v>5.0725596100385681</v>
      </c>
      <c r="AP45" s="14">
        <v>4.0198856268286836</v>
      </c>
      <c r="AQ45" s="14">
        <v>3.1880155692673626</v>
      </c>
      <c r="AR45" s="14">
        <v>2.5276894903500713</v>
      </c>
      <c r="AS45" s="14">
        <v>2.0053034912514089</v>
      </c>
      <c r="AT45" s="14">
        <v>1.5905543026027344</v>
      </c>
      <c r="AU45" s="14">
        <v>1.2614390428864879</v>
      </c>
      <c r="AV45" s="14">
        <v>1</v>
      </c>
      <c r="AW45" s="14" t="str">
        <v/>
      </c>
      <c r="AX45" s="14" t="str">
        <v/>
      </c>
    </row>
    <row r="46" spans="1:50" hidden="1">
      <c r="A46" s="39">
        <v>39</v>
      </c>
      <c r="B46" s="11">
        <v>8.9700000000000002E-2</v>
      </c>
      <c r="C46" s="11">
        <f>+PI()*(Cond_Dia_Area[[#This Row],[Dia '[mm']]]/2)^2</f>
        <v>6.3193843085305752E-3</v>
      </c>
      <c r="E46" s="40">
        <v>39</v>
      </c>
      <c r="F46" s="19">
        <f t="shared" si="0"/>
        <v>6.3193843085305752E-3</v>
      </c>
      <c r="G46" s="14">
        <v>16966.732412886256</v>
      </c>
      <c r="H46" s="14">
        <v>13455.482725149728</v>
      </c>
      <c r="I46" s="14">
        <v>10670.176009714036</v>
      </c>
      <c r="J46" s="14">
        <v>8461.7437401271927</v>
      </c>
      <c r="K46" s="14">
        <v>6710.4772628692936</v>
      </c>
      <c r="L46" s="14">
        <v>5321.6781020346516</v>
      </c>
      <c r="M46" s="14">
        <v>4220.2187447567694</v>
      </c>
      <c r="N46" s="14">
        <v>3346.8224305221543</v>
      </c>
      <c r="O46" s="14">
        <v>2654.1449871925365</v>
      </c>
      <c r="P46" s="14">
        <v>2104.8352789988676</v>
      </c>
      <c r="Q46" s="14">
        <v>1669.2280399548101</v>
      </c>
      <c r="R46" s="14">
        <v>1323.7591128113156</v>
      </c>
      <c r="S46" s="14">
        <v>1049.7744482102487</v>
      </c>
      <c r="T46" s="14">
        <v>832.48653818189928</v>
      </c>
      <c r="U46" s="14">
        <v>660.2092494615398</v>
      </c>
      <c r="V46" s="14">
        <v>523.57806711085766</v>
      </c>
      <c r="W46" s="14">
        <v>415.21445074564167</v>
      </c>
      <c r="X46" s="14">
        <v>329.27885345552926</v>
      </c>
      <c r="Y46" s="14">
        <v>261.12686410417979</v>
      </c>
      <c r="Z46" s="14">
        <v>207.07755443948548</v>
      </c>
      <c r="AA46" s="14">
        <v>164.22265348759456</v>
      </c>
      <c r="AB46" s="14">
        <v>130.24483817605818</v>
      </c>
      <c r="AC46" s="14">
        <v>103.28178780003702</v>
      </c>
      <c r="AD46" s="14">
        <v>81.905526783816711</v>
      </c>
      <c r="AE46" s="14">
        <v>64.94886460380134</v>
      </c>
      <c r="AF46" s="14">
        <v>51.513025581369341</v>
      </c>
      <c r="AG46" s="14">
        <v>40.848771266540645</v>
      </c>
      <c r="AH46" s="14">
        <v>32.402366863905321</v>
      </c>
      <c r="AI46" s="14">
        <v>25.69597034087364</v>
      </c>
      <c r="AJ46" s="14">
        <v>20.375612253902201</v>
      </c>
      <c r="AK46" s="14">
        <v>16.160937797116361</v>
      </c>
      <c r="AL46" s="14">
        <v>12.814324721697123</v>
      </c>
      <c r="AM46" s="14">
        <v>10.15882372680395</v>
      </c>
      <c r="AN46" s="14">
        <v>8.0562310389269811</v>
      </c>
      <c r="AO46" s="14">
        <v>6.3929486247357401</v>
      </c>
      <c r="AP46" s="14">
        <v>5.0662632409033446</v>
      </c>
      <c r="AQ46" s="14">
        <v>4.0178571206635763</v>
      </c>
      <c r="AR46" s="14">
        <v>3.1856479358297003</v>
      </c>
      <c r="AS46" s="14">
        <v>2.5272846811308347</v>
      </c>
      <c r="AT46" s="14">
        <v>2.0045761357379797</v>
      </c>
      <c r="AU46" s="14">
        <v>1.5897920604914935</v>
      </c>
      <c r="AV46" s="14">
        <v>1.2603003446394458</v>
      </c>
      <c r="AW46" s="14">
        <v>1</v>
      </c>
      <c r="AX46" s="14" t="str">
        <v/>
      </c>
    </row>
    <row r="47" spans="1:50" hidden="1">
      <c r="A47" s="39">
        <v>40</v>
      </c>
      <c r="B47" s="11">
        <v>7.9899999999999999E-2</v>
      </c>
      <c r="C47" s="11">
        <f>+PI()*(Cond_Dia_Area[[#This Row],[Dia '[mm']]]/2)^2</f>
        <v>5.0139897291109434E-3</v>
      </c>
      <c r="E47" s="5">
        <v>40</v>
      </c>
      <c r="F47" s="11">
        <f t="shared" si="0"/>
        <v>5.0139897291109434E-3</v>
      </c>
      <c r="G47" s="14">
        <v>21384.029160355323</v>
      </c>
      <c r="H47" s="14">
        <v>16958.623968320851</v>
      </c>
      <c r="I47" s="14">
        <v>13448.16134216582</v>
      </c>
      <c r="J47" s="14">
        <v>10664.762694607309</v>
      </c>
      <c r="K47" s="14">
        <v>8457.5531679931573</v>
      </c>
      <c r="L47" s="14">
        <v>6707.1794937664572</v>
      </c>
      <c r="M47" s="14">
        <v>5318.9546758228771</v>
      </c>
      <c r="N47" s="14">
        <v>4218.1692212261578</v>
      </c>
      <c r="O47" s="14">
        <v>3345.1528803996234</v>
      </c>
      <c r="P47" s="14">
        <v>2652.8301318450317</v>
      </c>
      <c r="Q47" s="14">
        <v>2103.8123436523442</v>
      </c>
      <c r="R47" s="14">
        <v>1668.4004191722756</v>
      </c>
      <c r="S47" s="14">
        <v>1323.0837185405412</v>
      </c>
      <c r="T47" s="14">
        <v>1049.2247991466179</v>
      </c>
      <c r="U47" s="14">
        <v>832.09503744511699</v>
      </c>
      <c r="V47" s="14">
        <v>659.89186263805993</v>
      </c>
      <c r="W47" s="14">
        <v>523.31572788889753</v>
      </c>
      <c r="X47" s="14">
        <v>415.00675750821193</v>
      </c>
      <c r="Y47" s="14">
        <v>329.11136574034191</v>
      </c>
      <c r="Z47" s="14">
        <v>260.99029293500479</v>
      </c>
      <c r="AA47" s="14">
        <v>206.97809840523431</v>
      </c>
      <c r="AB47" s="14">
        <v>164.15414292897415</v>
      </c>
      <c r="AC47" s="14">
        <v>130.17124973175169</v>
      </c>
      <c r="AD47" s="14">
        <v>103.22966912645812</v>
      </c>
      <c r="AE47" s="14">
        <v>81.85833198882834</v>
      </c>
      <c r="AF47" s="14">
        <v>64.924465970448054</v>
      </c>
      <c r="AG47" s="14">
        <v>51.483768039210474</v>
      </c>
      <c r="AH47" s="14">
        <v>40.838338285810963</v>
      </c>
      <c r="AI47" s="14">
        <v>32.385928280187535</v>
      </c>
      <c r="AJ47" s="14">
        <v>25.680412468025583</v>
      </c>
      <c r="AK47" s="14">
        <v>20.368445538149221</v>
      </c>
      <c r="AL47" s="14">
        <v>16.150540177725286</v>
      </c>
      <c r="AM47" s="14">
        <v>12.803678252383691</v>
      </c>
      <c r="AN47" s="14">
        <v>10.153674571311763</v>
      </c>
      <c r="AO47" s="14">
        <v>8.0573557998812664</v>
      </c>
      <c r="AP47" s="14">
        <v>6.3852672536540513</v>
      </c>
      <c r="AQ47" s="14">
        <v>5.063908107913365</v>
      </c>
      <c r="AR47" s="14">
        <v>4.0150328711891117</v>
      </c>
      <c r="AS47" s="14">
        <v>3.1852644341095959</v>
      </c>
      <c r="AT47" s="14">
        <v>2.5264684735769527</v>
      </c>
      <c r="AU47" s="14">
        <v>2.0036951696504239</v>
      </c>
      <c r="AV47" s="14">
        <v>1.5884201309208477</v>
      </c>
      <c r="AW47" s="14">
        <v>1.2603504693758314</v>
      </c>
      <c r="AX47" s="14">
        <v>1</v>
      </c>
    </row>
    <row r="52" spans="24:50"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24:50"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 spans="24:50"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 spans="24:50"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 spans="24:50"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</row>
    <row r="57" spans="24:50"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 spans="24:50"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 spans="24:50"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  <row r="60" spans="24:50"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</row>
    <row r="61" spans="24:50" ht="15" customHeight="1"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 spans="24:50"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</row>
    <row r="63" spans="24:50"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</row>
    <row r="64" spans="24:50"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</row>
    <row r="65" spans="5:50"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 spans="5:50"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</row>
    <row r="67" spans="5:50"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</row>
    <row r="68" spans="5:50"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</row>
    <row r="69" spans="5:50"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 spans="5:50">
      <c r="E70" s="17"/>
      <c r="F70" s="11"/>
      <c r="G70" s="14"/>
      <c r="H70" s="14"/>
      <c r="I70" s="14"/>
      <c r="J70" s="14"/>
      <c r="K70" s="14"/>
      <c r="L70" s="14"/>
      <c r="M70" s="14"/>
      <c r="N70" s="18"/>
      <c r="O70" s="14"/>
      <c r="P70" s="14"/>
      <c r="Q70" s="14"/>
      <c r="R70" s="18"/>
      <c r="S70" s="14"/>
      <c r="T70" s="18"/>
      <c r="U70" s="14"/>
      <c r="V70" s="18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</row>
    <row r="71" spans="5:50">
      <c r="E71" s="17"/>
      <c r="F71" s="11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</row>
    <row r="72" spans="5:50">
      <c r="E72" s="17"/>
      <c r="F72" s="11"/>
      <c r="G72" s="14"/>
      <c r="H72" s="14"/>
      <c r="I72" s="14"/>
      <c r="J72" s="14"/>
      <c r="K72" s="14"/>
      <c r="L72" s="14"/>
      <c r="M72" s="14"/>
      <c r="N72" s="18"/>
      <c r="O72" s="14"/>
      <c r="P72" s="14"/>
      <c r="Q72" s="14"/>
      <c r="R72" s="18"/>
      <c r="S72" s="14"/>
      <c r="T72" s="18"/>
      <c r="U72" s="14"/>
      <c r="V72" s="18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</row>
    <row r="73" spans="5:50">
      <c r="E73" s="17"/>
      <c r="F73" s="11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 spans="5:50">
      <c r="E74" s="17"/>
      <c r="F74" s="11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</row>
    <row r="75" spans="5:50">
      <c r="E75" s="17"/>
      <c r="F75" s="11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</row>
    <row r="76" spans="5:50">
      <c r="E76" s="17"/>
      <c r="F76" s="11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</row>
    <row r="77" spans="5:50">
      <c r="E77" s="17"/>
      <c r="F77" s="11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</row>
    <row r="78" spans="5:50">
      <c r="E78" s="17"/>
      <c r="F78" s="11"/>
      <c r="G78" s="14"/>
      <c r="H78" s="14"/>
      <c r="I78" s="14"/>
      <c r="J78" s="14"/>
      <c r="K78" s="14"/>
      <c r="L78" s="14"/>
      <c r="M78" s="14"/>
      <c r="N78" s="18"/>
      <c r="O78" s="14"/>
      <c r="P78" s="14"/>
      <c r="Q78" s="14"/>
      <c r="R78" s="18"/>
      <c r="S78" s="14"/>
      <c r="T78" s="18"/>
      <c r="U78" s="14"/>
      <c r="V78" s="18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</row>
    <row r="79" spans="5:50">
      <c r="E79" s="17"/>
      <c r="F79" s="11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</row>
    <row r="80" spans="5:50">
      <c r="E80" s="17"/>
      <c r="F80" s="11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</row>
    <row r="81" spans="5:50">
      <c r="E81" s="17"/>
      <c r="F81" s="11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</row>
    <row r="82" spans="5:50">
      <c r="E82" s="17"/>
      <c r="F82" s="11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</row>
    <row r="83" spans="5:50">
      <c r="E83" s="17"/>
      <c r="F83" s="11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</row>
    <row r="84" spans="5:50">
      <c r="E84" s="17"/>
      <c r="F84" s="11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</row>
    <row r="85" spans="5:50">
      <c r="E85" s="17"/>
      <c r="F85" s="11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</row>
    <row r="86" spans="5:50">
      <c r="E86" s="17"/>
      <c r="F86" s="11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</row>
    <row r="87" spans="5:50">
      <c r="E87" s="17"/>
      <c r="F87" s="11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</row>
    <row r="88" spans="5:50">
      <c r="E88" s="17"/>
      <c r="F88" s="11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</row>
    <row r="89" spans="5:50">
      <c r="E89" s="17"/>
      <c r="F89" s="11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</row>
    <row r="90" spans="5:50">
      <c r="E90" s="17"/>
      <c r="F90" s="11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</row>
    <row r="91" spans="5:50">
      <c r="E91" s="17"/>
      <c r="F91" s="11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</row>
    <row r="92" spans="5:50">
      <c r="E92" s="17"/>
      <c r="F92" s="11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</row>
    <row r="93" spans="5:50">
      <c r="E93" s="17"/>
      <c r="F93" s="11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</row>
    <row r="94" spans="5:50">
      <c r="E94" s="17"/>
      <c r="F94" s="11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</row>
    <row r="95" spans="5:50">
      <c r="E95" s="17"/>
      <c r="F95" s="11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</row>
    <row r="96" spans="5:50">
      <c r="E96" s="17"/>
      <c r="F96" s="11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</row>
    <row r="102" spans="1:2">
      <c r="A102" s="15"/>
      <c r="B102" s="15"/>
    </row>
  </sheetData>
  <sortState xmlns:xlrd2="http://schemas.microsoft.com/office/spreadsheetml/2017/richdata2" ref="A54:B60">
    <sortCondition ref="A99"/>
  </sortState>
  <mergeCells count="1">
    <mergeCell ref="E1:AF1"/>
  </mergeCells>
  <conditionalFormatting sqref="G4:AX47">
    <cfRule type="cellIs" dxfId="6" priority="8" stopIfTrue="1" operator="equal">
      <formula>1</formula>
    </cfRule>
    <cfRule type="cellIs" dxfId="5" priority="9" operator="between">
      <formula>5</formula>
      <formula>6</formula>
    </cfRule>
    <cfRule type="cellIs" dxfId="4" priority="10" operator="between">
      <formula>4</formula>
      <formula>5</formula>
    </cfRule>
    <cfRule type="cellIs" dxfId="3" priority="11" operator="between">
      <formula>3</formula>
      <formula>4</formula>
    </cfRule>
    <cfRule type="cellIs" dxfId="2" priority="12" operator="between">
      <formula>2</formula>
      <formula>3</formula>
    </cfRule>
    <cfRule type="cellIs" dxfId="1" priority="13" operator="between">
      <formula>1</formula>
      <formula>2</formula>
    </cfRule>
    <cfRule type="cellIs" dxfId="0" priority="14" operator="lessThan">
      <formula>1</formula>
    </cfRule>
  </conditionalFormatting>
  <pageMargins left="0.25" right="0.25" top="0.75" bottom="0.75" header="0.3" footer="0.3"/>
  <pageSetup orientation="landscape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9"/>
  <sheetViews>
    <sheetView zoomScale="115" zoomScaleNormal="115" workbookViewId="0">
      <pane ySplit="1" topLeftCell="A35" activePane="bottomLeft" state="frozen"/>
      <selection pane="bottomLeft" activeCell="A2" sqref="A2"/>
    </sheetView>
  </sheetViews>
  <sheetFormatPr defaultColWidth="12.33203125" defaultRowHeight="14.4"/>
  <cols>
    <col min="7" max="7" width="14.109375" customWidth="1"/>
  </cols>
  <sheetData>
    <row r="1" spans="1:13" s="6" customFormat="1">
      <c r="A1" s="5" t="s">
        <v>0</v>
      </c>
      <c r="B1" s="6" t="s">
        <v>1</v>
      </c>
      <c r="C1" s="6" t="s">
        <v>2</v>
      </c>
      <c r="D1" s="6" t="s">
        <v>3</v>
      </c>
      <c r="E1" s="6" t="s">
        <v>27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>
      <c r="A2" s="3" t="s">
        <v>12</v>
      </c>
      <c r="B2" s="4">
        <v>459.99</v>
      </c>
      <c r="C2" s="4">
        <v>2.1739999999999999</v>
      </c>
      <c r="D2" s="4">
        <v>11.683999999999999</v>
      </c>
      <c r="E2" s="4">
        <f t="shared" ref="E2:E22" si="0">+PI()*(D2/2)^2</f>
        <v>107.2193025770305</v>
      </c>
      <c r="F2" s="9">
        <v>211592</v>
      </c>
      <c r="G2" s="4">
        <v>4.9000000000000002E-2</v>
      </c>
      <c r="H2" s="4">
        <v>20402</v>
      </c>
      <c r="I2" s="4">
        <v>1.5612999999999999</v>
      </c>
      <c r="J2" s="4">
        <v>1E-4</v>
      </c>
      <c r="K2" s="4">
        <v>640.48</v>
      </c>
      <c r="L2" s="4">
        <v>282.12</v>
      </c>
      <c r="M2" s="4">
        <v>423.18</v>
      </c>
    </row>
    <row r="3" spans="1:13">
      <c r="A3" s="3" t="s">
        <v>13</v>
      </c>
      <c r="B3" s="4">
        <v>409.63</v>
      </c>
      <c r="C3" s="4">
        <v>2.4411999999999998</v>
      </c>
      <c r="D3" s="4">
        <v>10.404999999999999</v>
      </c>
      <c r="E3" s="4">
        <f t="shared" si="0"/>
        <v>85.030366397015413</v>
      </c>
      <c r="F3" s="9">
        <v>167800</v>
      </c>
      <c r="G3" s="4">
        <v>6.1800000000000001E-2</v>
      </c>
      <c r="H3" s="4">
        <v>16180</v>
      </c>
      <c r="I3" s="4">
        <v>1.9688000000000001</v>
      </c>
      <c r="J3" s="4">
        <v>1E-4</v>
      </c>
      <c r="K3" s="4">
        <v>507.93</v>
      </c>
      <c r="L3" s="4">
        <v>223.73</v>
      </c>
      <c r="M3" s="4">
        <v>335.6</v>
      </c>
    </row>
    <row r="4" spans="1:13">
      <c r="A4" s="3" t="s">
        <v>14</v>
      </c>
      <c r="B4" s="4">
        <v>364.79</v>
      </c>
      <c r="C4" s="4">
        <v>2.7412999999999998</v>
      </c>
      <c r="D4" s="4">
        <v>9.2657000000000007</v>
      </c>
      <c r="E4" s="4">
        <f t="shared" si="0"/>
        <v>67.428942845046265</v>
      </c>
      <c r="F4" s="9">
        <v>133072</v>
      </c>
      <c r="G4" s="4">
        <v>7.7899999999999997E-2</v>
      </c>
      <c r="H4" s="4">
        <v>12831</v>
      </c>
      <c r="I4" s="4">
        <v>2.4826000000000001</v>
      </c>
      <c r="J4" s="4">
        <v>2.0000000000000001E-4</v>
      </c>
      <c r="K4" s="4">
        <v>402.8</v>
      </c>
      <c r="L4" s="4">
        <v>177.43</v>
      </c>
      <c r="M4" s="4">
        <v>266.14</v>
      </c>
    </row>
    <row r="5" spans="1:13">
      <c r="A5">
        <v>0</v>
      </c>
      <c r="B5" s="4">
        <v>324.85000000000002</v>
      </c>
      <c r="C5" s="4">
        <v>3.0783</v>
      </c>
      <c r="D5" s="4">
        <v>8.2513000000000005</v>
      </c>
      <c r="E5" s="4">
        <f t="shared" si="0"/>
        <v>53.473010614166597</v>
      </c>
      <c r="F5" s="9">
        <v>105531</v>
      </c>
      <c r="G5" s="4">
        <v>9.8299999999999998E-2</v>
      </c>
      <c r="H5" s="4">
        <v>10175</v>
      </c>
      <c r="I5" s="4">
        <v>3.1305000000000001</v>
      </c>
      <c r="J5" s="4">
        <v>2.9999999999999997E-4</v>
      </c>
      <c r="K5" s="4">
        <v>319.44</v>
      </c>
      <c r="L5" s="4">
        <v>140.71</v>
      </c>
      <c r="M5" s="4">
        <v>211.06</v>
      </c>
    </row>
    <row r="6" spans="1:13">
      <c r="A6">
        <v>1</v>
      </c>
      <c r="B6" s="4">
        <v>289.29000000000002</v>
      </c>
      <c r="C6" s="4">
        <v>3.4567000000000001</v>
      </c>
      <c r="D6" s="4">
        <v>7.3479999999999999</v>
      </c>
      <c r="E6" s="4">
        <f t="shared" si="0"/>
        <v>42.406084717727417</v>
      </c>
      <c r="F6" s="9">
        <v>83690</v>
      </c>
      <c r="G6" s="4">
        <v>0.1239</v>
      </c>
      <c r="H6" s="4">
        <v>8069.5</v>
      </c>
      <c r="I6" s="4">
        <v>3.9474999999999998</v>
      </c>
      <c r="J6" s="4">
        <v>5.0000000000000001E-4</v>
      </c>
      <c r="K6" s="4">
        <v>253.33</v>
      </c>
      <c r="L6" s="4">
        <v>111.59</v>
      </c>
      <c r="M6" s="4">
        <v>167.38</v>
      </c>
    </row>
    <row r="7" spans="1:13">
      <c r="A7">
        <v>2</v>
      </c>
      <c r="B7" s="4">
        <v>257.62</v>
      </c>
      <c r="C7" s="4">
        <v>3.8816999999999999</v>
      </c>
      <c r="D7" s="4">
        <v>6.5435999999999996</v>
      </c>
      <c r="E7" s="4">
        <f t="shared" si="0"/>
        <v>33.629729093048553</v>
      </c>
      <c r="F7" s="9">
        <v>66369</v>
      </c>
      <c r="G7" s="4">
        <v>0.15629999999999999</v>
      </c>
      <c r="H7" s="4">
        <v>6399.4</v>
      </c>
      <c r="I7" s="4">
        <v>4.9776999999999996</v>
      </c>
      <c r="J7" s="4">
        <v>8.0000000000000004E-4</v>
      </c>
      <c r="K7" s="4">
        <v>200.9</v>
      </c>
      <c r="L7" s="4">
        <v>88.492000000000004</v>
      </c>
      <c r="M7" s="4">
        <v>132.74</v>
      </c>
    </row>
    <row r="8" spans="1:13">
      <c r="A8">
        <v>3</v>
      </c>
      <c r="B8" s="4">
        <v>229.42</v>
      </c>
      <c r="C8" s="4">
        <v>4.3587999999999996</v>
      </c>
      <c r="D8" s="4">
        <v>5.8272000000000004</v>
      </c>
      <c r="E8" s="4">
        <f t="shared" si="0"/>
        <v>26.669184114182531</v>
      </c>
      <c r="F8" s="9">
        <v>52633</v>
      </c>
      <c r="G8" s="4">
        <v>0.19700000000000001</v>
      </c>
      <c r="H8" s="4">
        <v>5075</v>
      </c>
      <c r="I8" s="4">
        <v>6.2766999999999999</v>
      </c>
      <c r="J8" s="4">
        <v>1.1999999999999999E-3</v>
      </c>
      <c r="K8" s="4">
        <v>159.32</v>
      </c>
      <c r="L8" s="4">
        <v>70.177000000000007</v>
      </c>
      <c r="M8" s="4">
        <v>105.27</v>
      </c>
    </row>
    <row r="9" spans="1:13">
      <c r="A9" s="12">
        <v>4</v>
      </c>
      <c r="B9" s="8">
        <v>204.3</v>
      </c>
      <c r="C9" s="8">
        <v>4.8947000000000003</v>
      </c>
      <c r="D9" s="8">
        <v>5.1893000000000002</v>
      </c>
      <c r="E9" s="8">
        <f t="shared" si="0"/>
        <v>21.149857150879864</v>
      </c>
      <c r="F9" s="10">
        <v>41740</v>
      </c>
      <c r="G9" s="8">
        <v>0.2485</v>
      </c>
      <c r="H9" s="8">
        <v>4024.7</v>
      </c>
      <c r="I9" s="8">
        <v>7.9147999999999996</v>
      </c>
      <c r="J9" s="8">
        <v>2E-3</v>
      </c>
      <c r="K9" s="8">
        <v>126.35</v>
      </c>
      <c r="L9" s="8">
        <v>55.652999999999999</v>
      </c>
      <c r="M9" s="8">
        <v>83.48</v>
      </c>
    </row>
    <row r="10" spans="1:13">
      <c r="A10">
        <v>5</v>
      </c>
      <c r="B10" s="4">
        <v>181.94</v>
      </c>
      <c r="C10" s="4">
        <v>5.4964000000000004</v>
      </c>
      <c r="D10" s="4">
        <v>4.6212</v>
      </c>
      <c r="E10" s="4">
        <f t="shared" si="0"/>
        <v>16.772562184629599</v>
      </c>
      <c r="F10" s="9">
        <v>33101</v>
      </c>
      <c r="G10" s="4">
        <v>0.31330000000000002</v>
      </c>
      <c r="H10" s="4">
        <v>3191.7</v>
      </c>
      <c r="I10" s="4">
        <v>9.9803999999999995</v>
      </c>
      <c r="J10" s="4">
        <v>3.0999999999999999E-3</v>
      </c>
      <c r="K10" s="4">
        <v>100.2</v>
      </c>
      <c r="L10" s="4">
        <v>44.134999999999998</v>
      </c>
      <c r="M10" s="4">
        <v>66.203000000000003</v>
      </c>
    </row>
    <row r="11" spans="1:13">
      <c r="A11">
        <v>6</v>
      </c>
      <c r="B11" s="4">
        <v>162.02000000000001</v>
      </c>
      <c r="C11" s="4">
        <v>6.1721000000000004</v>
      </c>
      <c r="D11" s="4">
        <v>4.1153000000000004</v>
      </c>
      <c r="E11" s="4">
        <f t="shared" si="0"/>
        <v>13.30126303414702</v>
      </c>
      <c r="F11" s="9">
        <v>26251</v>
      </c>
      <c r="G11" s="4">
        <v>0.39510000000000001</v>
      </c>
      <c r="H11" s="4">
        <v>2531.1</v>
      </c>
      <c r="I11" s="4">
        <v>12.585000000000001</v>
      </c>
      <c r="J11" s="4">
        <v>5.0000000000000001E-3</v>
      </c>
      <c r="K11" s="4">
        <v>79.459999999999994</v>
      </c>
      <c r="L11" s="4">
        <v>35.000999999999998</v>
      </c>
      <c r="M11" s="4">
        <v>52.500999999999998</v>
      </c>
    </row>
    <row r="12" spans="1:13">
      <c r="A12">
        <v>7</v>
      </c>
      <c r="B12" s="4">
        <v>144.28</v>
      </c>
      <c r="C12" s="4">
        <v>6.9307999999999996</v>
      </c>
      <c r="D12" s="4">
        <v>3.6648000000000001</v>
      </c>
      <c r="E12" s="4">
        <f t="shared" si="0"/>
        <v>10.548493483049675</v>
      </c>
      <c r="F12" s="9">
        <v>20818</v>
      </c>
      <c r="G12" s="4">
        <v>0.49819999999999998</v>
      </c>
      <c r="H12" s="4">
        <v>2007.3</v>
      </c>
      <c r="I12" s="4">
        <v>15.869</v>
      </c>
      <c r="J12" s="4">
        <v>7.9000000000000008E-3</v>
      </c>
      <c r="K12" s="4">
        <v>63.014000000000003</v>
      </c>
      <c r="L12" s="4">
        <v>27.757000000000001</v>
      </c>
      <c r="M12" s="4">
        <v>41.634999999999998</v>
      </c>
    </row>
    <row r="13" spans="1:13">
      <c r="A13" s="12">
        <v>8</v>
      </c>
      <c r="B13" s="8">
        <v>128.49</v>
      </c>
      <c r="C13" s="8">
        <v>7.7827999999999999</v>
      </c>
      <c r="D13" s="8">
        <v>3.2635999999999998</v>
      </c>
      <c r="E13" s="8">
        <f t="shared" si="0"/>
        <v>8.3653425657741831</v>
      </c>
      <c r="F13" s="10">
        <v>16509</v>
      </c>
      <c r="G13" s="8">
        <v>0.62819999999999998</v>
      </c>
      <c r="H13" s="8">
        <v>1591.8</v>
      </c>
      <c r="I13" s="8">
        <v>20.010999999999999</v>
      </c>
      <c r="J13" s="8">
        <v>1.26E-2</v>
      </c>
      <c r="K13" s="8">
        <v>49.972999999999999</v>
      </c>
      <c r="L13" s="8">
        <v>22.012</v>
      </c>
      <c r="M13" s="8">
        <v>33.018000000000001</v>
      </c>
    </row>
    <row r="14" spans="1:13">
      <c r="A14">
        <v>9</v>
      </c>
      <c r="B14" s="4">
        <v>114.42</v>
      </c>
      <c r="C14" s="4">
        <v>8.7395999999999994</v>
      </c>
      <c r="D14" s="4">
        <v>2.9062999999999999</v>
      </c>
      <c r="E14" s="4">
        <f t="shared" si="0"/>
        <v>6.6339281755161883</v>
      </c>
      <c r="F14" s="9">
        <v>13092</v>
      </c>
      <c r="G14" s="4">
        <v>0.79210000000000003</v>
      </c>
      <c r="H14" s="4">
        <v>1262.4000000000001</v>
      </c>
      <c r="I14" s="4">
        <v>25.233000000000001</v>
      </c>
      <c r="J14" s="4">
        <v>0.02</v>
      </c>
      <c r="K14" s="4">
        <v>39.630000000000003</v>
      </c>
      <c r="L14" s="4">
        <v>17.456</v>
      </c>
      <c r="M14" s="4">
        <v>26.184999999999999</v>
      </c>
    </row>
    <row r="15" spans="1:13">
      <c r="A15" s="1">
        <v>10</v>
      </c>
      <c r="B15" s="4">
        <v>101.9</v>
      </c>
      <c r="C15" s="4">
        <v>9.8140000000000001</v>
      </c>
      <c r="D15" s="4">
        <v>2.5880999999999998</v>
      </c>
      <c r="E15" s="4">
        <f t="shared" si="0"/>
        <v>5.2608023664496342</v>
      </c>
      <c r="F15" s="9">
        <v>10383</v>
      </c>
      <c r="G15" s="4">
        <v>0.99890000000000001</v>
      </c>
      <c r="H15" s="4">
        <v>1001.1</v>
      </c>
      <c r="I15" s="4">
        <v>31.818999999999999</v>
      </c>
      <c r="J15" s="4">
        <v>3.1800000000000002E-2</v>
      </c>
      <c r="K15" s="4">
        <v>31.428000000000001</v>
      </c>
      <c r="L15" s="4">
        <v>13.843999999999999</v>
      </c>
      <c r="M15" s="4">
        <v>20.765000000000001</v>
      </c>
    </row>
    <row r="16" spans="1:13">
      <c r="A16" s="1">
        <v>11</v>
      </c>
      <c r="B16" s="4">
        <v>90.741</v>
      </c>
      <c r="C16" s="4">
        <v>11.02</v>
      </c>
      <c r="D16" s="4">
        <v>2.3048000000000002</v>
      </c>
      <c r="E16" s="4">
        <f t="shared" si="0"/>
        <v>4.1721159713940024</v>
      </c>
      <c r="F16" s="9">
        <v>8233.9</v>
      </c>
      <c r="G16" s="4">
        <v>1.2596000000000001</v>
      </c>
      <c r="H16" s="4">
        <v>793.93</v>
      </c>
      <c r="I16" s="4">
        <v>40.122</v>
      </c>
      <c r="J16" s="4">
        <v>5.0500000000000003E-2</v>
      </c>
      <c r="K16" s="4">
        <v>24.923999999999999</v>
      </c>
      <c r="L16" s="4">
        <v>10.978</v>
      </c>
      <c r="M16" s="4">
        <v>16.468</v>
      </c>
    </row>
    <row r="17" spans="1:13">
      <c r="A17" s="7">
        <v>12</v>
      </c>
      <c r="B17" s="8">
        <v>80.807000000000002</v>
      </c>
      <c r="C17" s="8">
        <v>12.375</v>
      </c>
      <c r="D17" s="8">
        <v>2.0525000000000002</v>
      </c>
      <c r="E17" s="8">
        <f t="shared" si="0"/>
        <v>3.3086910215911223</v>
      </c>
      <c r="F17" s="10">
        <v>6529.8</v>
      </c>
      <c r="G17" s="8">
        <v>1.5883</v>
      </c>
      <c r="H17" s="8">
        <v>629.61</v>
      </c>
      <c r="I17" s="8">
        <v>50.593000000000004</v>
      </c>
      <c r="J17" s="8">
        <v>8.0399999999999999E-2</v>
      </c>
      <c r="K17" s="8">
        <v>19.765000000000001</v>
      </c>
      <c r="L17" s="8">
        <v>8.7064000000000004</v>
      </c>
      <c r="M17" s="8">
        <v>13.06</v>
      </c>
    </row>
    <row r="18" spans="1:13">
      <c r="A18" s="1">
        <v>13</v>
      </c>
      <c r="B18" s="4">
        <v>71.960999999999999</v>
      </c>
      <c r="C18" s="4">
        <v>13.896000000000001</v>
      </c>
      <c r="D18" s="4">
        <v>1.8278000000000001</v>
      </c>
      <c r="E18" s="4">
        <f t="shared" si="0"/>
        <v>2.6238996847171494</v>
      </c>
      <c r="F18" s="9">
        <v>5178.3</v>
      </c>
      <c r="G18" s="4">
        <v>2.0028000000000001</v>
      </c>
      <c r="H18" s="4">
        <v>499.31</v>
      </c>
      <c r="I18" s="4">
        <v>63.796999999999997</v>
      </c>
      <c r="J18" s="4">
        <v>0.1278</v>
      </c>
      <c r="K18" s="4">
        <v>15.675000000000001</v>
      </c>
      <c r="L18" s="4">
        <v>6.9044999999999996</v>
      </c>
      <c r="M18" s="4">
        <v>10.356999999999999</v>
      </c>
    </row>
    <row r="19" spans="1:13">
      <c r="A19" s="1">
        <v>14</v>
      </c>
      <c r="B19" s="4">
        <v>64.082999999999998</v>
      </c>
      <c r="C19" s="4">
        <v>15.605</v>
      </c>
      <c r="D19" s="4">
        <v>1.6276999999999999</v>
      </c>
      <c r="E19" s="4">
        <f t="shared" si="0"/>
        <v>2.0808396196578105</v>
      </c>
      <c r="F19" s="9">
        <v>4106.6000000000004</v>
      </c>
      <c r="G19" s="4">
        <v>2.5255000000000001</v>
      </c>
      <c r="H19" s="4">
        <v>395.97</v>
      </c>
      <c r="I19" s="4">
        <v>80.447000000000003</v>
      </c>
      <c r="J19" s="4">
        <v>0.2031</v>
      </c>
      <c r="K19" s="4">
        <v>12.430999999999999</v>
      </c>
      <c r="L19" s="4">
        <v>5.4755000000000003</v>
      </c>
      <c r="M19" s="4">
        <v>8.2132000000000005</v>
      </c>
    </row>
    <row r="20" spans="1:13">
      <c r="A20" s="1">
        <v>15</v>
      </c>
      <c r="B20" s="4">
        <v>57.067</v>
      </c>
      <c r="C20" s="4">
        <v>17.523</v>
      </c>
      <c r="D20" s="4">
        <v>1.4495</v>
      </c>
      <c r="E20" s="4">
        <f t="shared" si="0"/>
        <v>1.6501610075557496</v>
      </c>
      <c r="F20" s="9">
        <v>3256.7</v>
      </c>
      <c r="G20" s="4">
        <v>3.1844999999999999</v>
      </c>
      <c r="H20" s="4">
        <v>314.02</v>
      </c>
      <c r="I20" s="4">
        <v>101.44</v>
      </c>
      <c r="J20" s="4">
        <v>0.32300000000000001</v>
      </c>
      <c r="K20" s="4">
        <v>9.8579000000000008</v>
      </c>
      <c r="L20" s="4">
        <v>4.3422999999999998</v>
      </c>
      <c r="M20" s="4">
        <v>6.5133999999999999</v>
      </c>
    </row>
    <row r="21" spans="1:13">
      <c r="A21" s="7">
        <v>16</v>
      </c>
      <c r="B21" s="8">
        <v>50.82</v>
      </c>
      <c r="C21" s="8">
        <v>19.677</v>
      </c>
      <c r="D21" s="8">
        <v>1.2907999999999999</v>
      </c>
      <c r="E21" s="8">
        <f t="shared" si="0"/>
        <v>1.3086026481737705</v>
      </c>
      <c r="F21" s="10">
        <v>2582.6999999999998</v>
      </c>
      <c r="G21" s="8">
        <v>4.0156000000000001</v>
      </c>
      <c r="H21" s="8">
        <v>249.03</v>
      </c>
      <c r="I21" s="8">
        <v>127.91</v>
      </c>
      <c r="J21" s="8">
        <v>0.51359999999999995</v>
      </c>
      <c r="K21" s="8">
        <v>7.8177000000000003</v>
      </c>
      <c r="L21" s="8">
        <v>3.4436</v>
      </c>
      <c r="M21" s="8">
        <v>5.1654</v>
      </c>
    </row>
    <row r="22" spans="1:13">
      <c r="A22" s="1">
        <v>17</v>
      </c>
      <c r="B22" s="4">
        <v>45.256999999999998</v>
      </c>
      <c r="C22" s="4">
        <v>22.096</v>
      </c>
      <c r="D22" s="4">
        <v>1.1495</v>
      </c>
      <c r="E22" s="4">
        <f t="shared" si="0"/>
        <v>1.037786059554759</v>
      </c>
      <c r="F22" s="9">
        <v>2048.1999999999998</v>
      </c>
      <c r="G22" s="4">
        <v>5.0636000000000001</v>
      </c>
      <c r="H22" s="4">
        <v>197.49</v>
      </c>
      <c r="I22" s="4">
        <v>161.30000000000001</v>
      </c>
      <c r="J22" s="4">
        <v>0.81669999999999998</v>
      </c>
      <c r="K22" s="4">
        <v>6.1997</v>
      </c>
      <c r="L22" s="4">
        <v>2.7309000000000001</v>
      </c>
      <c r="M22" s="4">
        <v>4.0963000000000003</v>
      </c>
    </row>
    <row r="23" spans="1:13">
      <c r="A23" s="1">
        <v>18</v>
      </c>
      <c r="B23" s="4">
        <v>40.302</v>
      </c>
      <c r="C23" s="4">
        <v>24.812999999999999</v>
      </c>
      <c r="D23" s="4">
        <v>1.0237000000000001</v>
      </c>
      <c r="E23" s="4">
        <f>+PI()*(D23/2)^2</f>
        <v>0.82306718663688616</v>
      </c>
      <c r="F23" s="9">
        <v>1624.3</v>
      </c>
      <c r="G23" s="4">
        <v>6.3851000000000004</v>
      </c>
      <c r="H23" s="4">
        <v>156.62</v>
      </c>
      <c r="I23" s="4">
        <v>203.39</v>
      </c>
      <c r="J23" s="4">
        <v>1.2986</v>
      </c>
      <c r="K23" s="4">
        <v>4.9165999999999999</v>
      </c>
      <c r="L23" s="4">
        <v>2.1657000000000002</v>
      </c>
      <c r="M23" s="4">
        <v>3.2484999999999999</v>
      </c>
    </row>
    <row r="24" spans="1:13">
      <c r="A24" s="1">
        <v>19</v>
      </c>
      <c r="B24" s="4">
        <v>35.89</v>
      </c>
      <c r="C24" s="4">
        <v>27.863</v>
      </c>
      <c r="D24" s="4">
        <v>0.91159999999999997</v>
      </c>
      <c r="E24" s="4">
        <f t="shared" ref="E24:E45" si="1">+PI()*(D24/2)^2</f>
        <v>0.65267730918053857</v>
      </c>
      <c r="F24" s="9">
        <v>1288.0999999999999</v>
      </c>
      <c r="G24" s="4">
        <v>8.0513999999999992</v>
      </c>
      <c r="H24" s="4">
        <v>124.2</v>
      </c>
      <c r="I24" s="4">
        <v>256.47000000000003</v>
      </c>
      <c r="J24" s="4">
        <v>2.0648</v>
      </c>
      <c r="K24" s="4">
        <v>3.8990999999999998</v>
      </c>
      <c r="L24" s="4">
        <v>1.7175</v>
      </c>
      <c r="M24" s="4">
        <v>2.5762</v>
      </c>
    </row>
    <row r="25" spans="1:13">
      <c r="A25" s="1">
        <v>20</v>
      </c>
      <c r="B25" s="4">
        <v>31.960999999999999</v>
      </c>
      <c r="C25" s="4">
        <v>31.288</v>
      </c>
      <c r="D25" s="4">
        <v>0.81179999999999997</v>
      </c>
      <c r="E25" s="4">
        <f t="shared" si="1"/>
        <v>0.51759250073958207</v>
      </c>
      <c r="F25" s="9">
        <v>1021.5</v>
      </c>
      <c r="G25" s="4">
        <v>10.153</v>
      </c>
      <c r="H25" s="4">
        <v>98.495999999999995</v>
      </c>
      <c r="I25" s="4">
        <v>323.41000000000003</v>
      </c>
      <c r="J25" s="4">
        <v>3.2831999999999999</v>
      </c>
      <c r="K25" s="4">
        <v>3.0920999999999998</v>
      </c>
      <c r="L25" s="4">
        <v>1.3620000000000001</v>
      </c>
      <c r="M25" s="4">
        <v>2.0430000000000001</v>
      </c>
    </row>
    <row r="26" spans="1:13">
      <c r="A26" s="1">
        <v>21</v>
      </c>
      <c r="B26" s="4">
        <v>28.462</v>
      </c>
      <c r="C26" s="4">
        <v>35.134</v>
      </c>
      <c r="D26" s="4">
        <v>0.72289999999999999</v>
      </c>
      <c r="E26" s="4">
        <f t="shared" si="1"/>
        <v>0.41043683583413909</v>
      </c>
      <c r="F26" s="9">
        <v>810.1</v>
      </c>
      <c r="G26" s="4">
        <v>12.802</v>
      </c>
      <c r="H26" s="4">
        <v>78.111000000000004</v>
      </c>
      <c r="I26" s="4">
        <v>407.81</v>
      </c>
      <c r="J26" s="4">
        <v>5.2205000000000004</v>
      </c>
      <c r="K26" s="4">
        <v>2.4521000000000002</v>
      </c>
      <c r="L26" s="4">
        <v>1.0801000000000001</v>
      </c>
      <c r="M26" s="4">
        <v>1.6202000000000001</v>
      </c>
    </row>
    <row r="27" spans="1:13">
      <c r="A27" s="7">
        <v>22</v>
      </c>
      <c r="B27" s="8">
        <v>25.346</v>
      </c>
      <c r="C27" s="8">
        <v>39.453000000000003</v>
      </c>
      <c r="D27" s="8">
        <v>0.64380000000000004</v>
      </c>
      <c r="E27" s="8">
        <f t="shared" si="1"/>
        <v>0.3255306055438395</v>
      </c>
      <c r="F27" s="10">
        <v>642.44000000000005</v>
      </c>
      <c r="G27" s="8">
        <v>16.143000000000001</v>
      </c>
      <c r="H27" s="8">
        <v>61.945</v>
      </c>
      <c r="I27" s="8">
        <v>514.23</v>
      </c>
      <c r="J27" s="8">
        <v>8.3009000000000004</v>
      </c>
      <c r="K27" s="8">
        <v>1.9446000000000001</v>
      </c>
      <c r="L27" s="8">
        <v>0.85660000000000003</v>
      </c>
      <c r="M27" s="8">
        <v>1.2848999999999999</v>
      </c>
    </row>
    <row r="28" spans="1:13">
      <c r="A28" s="1">
        <v>23</v>
      </c>
      <c r="B28" s="4">
        <v>22.571999999999999</v>
      </c>
      <c r="C28" s="4">
        <v>44.304000000000002</v>
      </c>
      <c r="D28" s="4">
        <v>0.57330000000000003</v>
      </c>
      <c r="E28" s="4">
        <f t="shared" si="1"/>
        <v>0.25813908416453157</v>
      </c>
      <c r="F28" s="9">
        <v>509.48</v>
      </c>
      <c r="G28" s="4">
        <v>20.356000000000002</v>
      </c>
      <c r="H28" s="4">
        <v>49.125</v>
      </c>
      <c r="I28" s="4">
        <v>648.44000000000005</v>
      </c>
      <c r="J28" s="4">
        <v>13.199</v>
      </c>
      <c r="K28" s="4">
        <v>1.5422</v>
      </c>
      <c r="L28" s="4">
        <v>0.67930000000000001</v>
      </c>
      <c r="M28" s="4">
        <v>1.0189999999999999</v>
      </c>
    </row>
    <row r="29" spans="1:13">
      <c r="A29" s="1">
        <v>24</v>
      </c>
      <c r="B29" s="4">
        <v>20.100999999999999</v>
      </c>
      <c r="C29" s="4">
        <v>49.75</v>
      </c>
      <c r="D29" s="4">
        <v>0.51060000000000005</v>
      </c>
      <c r="E29" s="4">
        <f t="shared" si="1"/>
        <v>0.20476300871901437</v>
      </c>
      <c r="F29" s="9">
        <v>404.03</v>
      </c>
      <c r="G29" s="4">
        <v>25.669</v>
      </c>
      <c r="H29" s="4">
        <v>38.957999999999998</v>
      </c>
      <c r="I29" s="4">
        <v>817.66</v>
      </c>
      <c r="J29" s="4">
        <v>20.986999999999998</v>
      </c>
      <c r="K29" s="4">
        <v>1.2230000000000001</v>
      </c>
      <c r="L29" s="4">
        <v>0.53869999999999996</v>
      </c>
      <c r="M29" s="4">
        <v>0.80810000000000004</v>
      </c>
    </row>
    <row r="30" spans="1:13">
      <c r="A30" s="1">
        <v>25</v>
      </c>
      <c r="B30" s="4">
        <v>17.899999999999999</v>
      </c>
      <c r="C30" s="4">
        <v>55.866</v>
      </c>
      <c r="D30" s="4">
        <v>0.45469999999999999</v>
      </c>
      <c r="E30" s="4">
        <f t="shared" si="1"/>
        <v>0.16238271176458394</v>
      </c>
      <c r="F30" s="9">
        <v>320.41000000000003</v>
      </c>
      <c r="G30" s="4">
        <v>32.368000000000002</v>
      </c>
      <c r="H30" s="4">
        <v>30.895</v>
      </c>
      <c r="I30" s="4">
        <v>1031.0999999999999</v>
      </c>
      <c r="J30" s="4">
        <v>33.371000000000002</v>
      </c>
      <c r="K30" s="4">
        <v>0.96989999999999998</v>
      </c>
      <c r="L30" s="4">
        <v>0.42720000000000002</v>
      </c>
      <c r="M30" s="4">
        <v>0.64080000000000004</v>
      </c>
    </row>
    <row r="31" spans="1:13">
      <c r="A31" s="1">
        <v>26</v>
      </c>
      <c r="B31" s="4">
        <v>15.94</v>
      </c>
      <c r="C31" s="4">
        <v>62.732999999999997</v>
      </c>
      <c r="D31" s="4">
        <v>0.40489999999999998</v>
      </c>
      <c r="E31" s="4">
        <f t="shared" si="1"/>
        <v>0.12876132435401288</v>
      </c>
      <c r="F31" s="9">
        <v>254.1</v>
      </c>
      <c r="G31" s="4">
        <v>40.814999999999998</v>
      </c>
      <c r="H31" s="4">
        <v>24.501000000000001</v>
      </c>
      <c r="I31" s="4">
        <v>1300.0999999999999</v>
      </c>
      <c r="J31" s="4">
        <v>53.061</v>
      </c>
      <c r="K31" s="4">
        <v>0.76919999999999999</v>
      </c>
      <c r="L31" s="4">
        <v>0.33879999999999999</v>
      </c>
      <c r="M31" s="4">
        <v>0.50819999999999999</v>
      </c>
    </row>
    <row r="32" spans="1:13">
      <c r="A32" s="1">
        <v>27</v>
      </c>
      <c r="B32" s="4">
        <v>14.195</v>
      </c>
      <c r="C32" s="4">
        <v>70.444999999999993</v>
      </c>
      <c r="D32" s="4">
        <v>0.36059999999999998</v>
      </c>
      <c r="E32" s="4">
        <f t="shared" si="1"/>
        <v>0.10212717672623581</v>
      </c>
      <c r="F32" s="9">
        <v>201.51</v>
      </c>
      <c r="G32" s="4">
        <v>51.466999999999999</v>
      </c>
      <c r="H32" s="4">
        <v>19.43</v>
      </c>
      <c r="I32" s="4">
        <v>1639.4</v>
      </c>
      <c r="J32" s="4">
        <v>84.370999999999995</v>
      </c>
      <c r="K32" s="4">
        <v>0.61</v>
      </c>
      <c r="L32" s="4">
        <v>0.26869999999999999</v>
      </c>
      <c r="M32" s="4">
        <v>0.40300000000000002</v>
      </c>
    </row>
    <row r="33" spans="1:13">
      <c r="A33" s="1">
        <v>28</v>
      </c>
      <c r="B33" s="4">
        <v>12.641</v>
      </c>
      <c r="C33" s="4">
        <v>79.105000000000004</v>
      </c>
      <c r="D33" s="4">
        <v>0.3211</v>
      </c>
      <c r="E33" s="4">
        <f t="shared" si="1"/>
        <v>8.097864257070822E-2</v>
      </c>
      <c r="F33" s="9">
        <v>159.80000000000001</v>
      </c>
      <c r="G33" s="4">
        <v>64.897999999999996</v>
      </c>
      <c r="H33" s="4">
        <v>15.409000000000001</v>
      </c>
      <c r="I33" s="4">
        <v>2067.3000000000002</v>
      </c>
      <c r="J33" s="4">
        <v>134.15</v>
      </c>
      <c r="K33" s="4">
        <v>0.48370000000000002</v>
      </c>
      <c r="L33" s="4">
        <v>0.21310000000000001</v>
      </c>
      <c r="M33" s="4">
        <v>0.3196</v>
      </c>
    </row>
    <row r="34" spans="1:13">
      <c r="A34" s="1">
        <v>29</v>
      </c>
      <c r="B34" s="4">
        <v>11.257</v>
      </c>
      <c r="C34" s="4">
        <v>88.83</v>
      </c>
      <c r="D34" s="4">
        <v>0.28589999999999999</v>
      </c>
      <c r="E34" s="4">
        <f t="shared" si="1"/>
        <v>6.4197511252292977E-2</v>
      </c>
      <c r="F34" s="9">
        <v>126.73</v>
      </c>
      <c r="G34" s="4">
        <v>81.834999999999994</v>
      </c>
      <c r="H34" s="4">
        <v>12.22</v>
      </c>
      <c r="I34" s="4">
        <v>2606.8000000000002</v>
      </c>
      <c r="J34" s="4">
        <v>213.31</v>
      </c>
      <c r="K34" s="4">
        <v>0.3836</v>
      </c>
      <c r="L34" s="4">
        <v>0.16900000000000001</v>
      </c>
      <c r="M34" s="4">
        <v>0.2535</v>
      </c>
    </row>
    <row r="35" spans="1:13">
      <c r="A35" s="1">
        <v>30</v>
      </c>
      <c r="B35" s="4">
        <v>10.025</v>
      </c>
      <c r="C35" s="4">
        <v>99.75</v>
      </c>
      <c r="D35" s="4">
        <v>0.25459999999999999</v>
      </c>
      <c r="E35" s="4">
        <f t="shared" si="1"/>
        <v>5.0910420013292143E-2</v>
      </c>
      <c r="F35" s="9">
        <v>100.5</v>
      </c>
      <c r="G35" s="4">
        <v>103.19</v>
      </c>
      <c r="H35" s="4">
        <v>9.6905999999999999</v>
      </c>
      <c r="I35" s="4">
        <v>3287.1</v>
      </c>
      <c r="J35" s="4">
        <v>339.18</v>
      </c>
      <c r="K35" s="4">
        <v>0.30420000000000003</v>
      </c>
      <c r="L35" s="4">
        <v>0.13400000000000001</v>
      </c>
      <c r="M35" s="4">
        <v>0.20100000000000001</v>
      </c>
    </row>
    <row r="36" spans="1:13">
      <c r="A36" s="1">
        <v>31</v>
      </c>
      <c r="B36" s="4">
        <v>8.9276</v>
      </c>
      <c r="C36" s="4">
        <v>112.01</v>
      </c>
      <c r="D36" s="4">
        <v>0.2268</v>
      </c>
      <c r="E36" s="4">
        <f t="shared" si="1"/>
        <v>4.0399499224397159E-2</v>
      </c>
      <c r="F36" s="9">
        <v>79.701999999999998</v>
      </c>
      <c r="G36" s="4">
        <v>130.12</v>
      </c>
      <c r="H36" s="4">
        <v>7.6849999999999996</v>
      </c>
      <c r="I36" s="4">
        <v>4145</v>
      </c>
      <c r="J36" s="4">
        <v>539.32000000000005</v>
      </c>
      <c r="K36" s="4">
        <v>0.24129999999999999</v>
      </c>
      <c r="L36" s="4">
        <v>0.10630000000000001</v>
      </c>
      <c r="M36" s="4">
        <v>0.15939999999999999</v>
      </c>
    </row>
    <row r="37" spans="1:13">
      <c r="A37" s="1">
        <v>32</v>
      </c>
      <c r="B37" s="4">
        <v>7.9503000000000004</v>
      </c>
      <c r="C37" s="4">
        <v>125.78</v>
      </c>
      <c r="D37" s="4">
        <v>0.2019</v>
      </c>
      <c r="E37" s="4">
        <f t="shared" si="1"/>
        <v>3.2015664427449853E-2</v>
      </c>
      <c r="F37" s="9">
        <v>63.207000000000001</v>
      </c>
      <c r="G37" s="4">
        <v>164.08</v>
      </c>
      <c r="H37" s="4">
        <v>6.0945</v>
      </c>
      <c r="I37" s="4">
        <v>5226.7</v>
      </c>
      <c r="J37" s="4">
        <v>857.55</v>
      </c>
      <c r="K37" s="4">
        <v>0.1913</v>
      </c>
      <c r="L37" s="4">
        <v>8.43E-2</v>
      </c>
      <c r="M37" s="4">
        <v>0.12640000000000001</v>
      </c>
    </row>
    <row r="38" spans="1:13">
      <c r="A38" s="1">
        <v>33</v>
      </c>
      <c r="B38" s="4">
        <v>7.0799000000000003</v>
      </c>
      <c r="C38" s="4">
        <v>141.24</v>
      </c>
      <c r="D38" s="4">
        <v>0.17979999999999999</v>
      </c>
      <c r="E38" s="4">
        <f t="shared" si="1"/>
        <v>2.5390383242239242E-2</v>
      </c>
      <c r="F38" s="9">
        <v>50.125</v>
      </c>
      <c r="G38" s="4">
        <v>206.9</v>
      </c>
      <c r="H38" s="4">
        <v>4.8331999999999997</v>
      </c>
      <c r="I38" s="4">
        <v>6590.8</v>
      </c>
      <c r="J38" s="4">
        <v>1363.6</v>
      </c>
      <c r="K38" s="4">
        <v>0.1517</v>
      </c>
      <c r="L38" s="4">
        <v>6.6799999999999998E-2</v>
      </c>
      <c r="M38" s="4">
        <v>0.1003</v>
      </c>
    </row>
    <row r="39" spans="1:13">
      <c r="A39" s="1">
        <v>34</v>
      </c>
      <c r="B39" s="4">
        <v>6.3048000000000002</v>
      </c>
      <c r="C39" s="4">
        <v>158.61000000000001</v>
      </c>
      <c r="D39" s="4">
        <v>0.16009999999999999</v>
      </c>
      <c r="E39" s="4">
        <f t="shared" si="1"/>
        <v>2.0131333578185025E-2</v>
      </c>
      <c r="F39" s="9">
        <v>39.750999999999998</v>
      </c>
      <c r="G39" s="4">
        <v>260.89999999999998</v>
      </c>
      <c r="H39" s="4">
        <v>3.8329</v>
      </c>
      <c r="I39" s="4">
        <v>8310.7999999999993</v>
      </c>
      <c r="J39" s="4">
        <v>2168.1</v>
      </c>
      <c r="K39" s="4">
        <v>0.1203</v>
      </c>
      <c r="L39" s="4">
        <v>5.2999999999999999E-2</v>
      </c>
      <c r="M39" s="4">
        <v>7.9500000000000001E-2</v>
      </c>
    </row>
    <row r="40" spans="1:13">
      <c r="A40" s="1">
        <v>35</v>
      </c>
      <c r="B40" s="4">
        <v>5.6146000000000003</v>
      </c>
      <c r="C40" s="4">
        <v>178.11</v>
      </c>
      <c r="D40" s="4">
        <v>0.1426</v>
      </c>
      <c r="E40" s="4">
        <f t="shared" si="1"/>
        <v>1.5970883157127896E-2</v>
      </c>
      <c r="F40" s="9">
        <v>31.524000000000001</v>
      </c>
      <c r="G40" s="4">
        <v>328.99</v>
      </c>
      <c r="H40" s="4">
        <v>3.0396000000000001</v>
      </c>
      <c r="I40" s="4">
        <v>10480</v>
      </c>
      <c r="J40" s="4">
        <v>3447.5</v>
      </c>
      <c r="K40" s="4">
        <v>9.5399999999999999E-2</v>
      </c>
      <c r="L40" s="4">
        <v>4.2000000000000003E-2</v>
      </c>
      <c r="M40" s="4">
        <v>6.3E-2</v>
      </c>
    </row>
    <row r="41" spans="1:13">
      <c r="A41" s="1">
        <v>36</v>
      </c>
      <c r="B41" s="4">
        <v>5</v>
      </c>
      <c r="C41" s="4">
        <v>200</v>
      </c>
      <c r="D41" s="4">
        <v>0.127</v>
      </c>
      <c r="E41" s="4">
        <f t="shared" si="1"/>
        <v>1.2667686977437444E-2</v>
      </c>
      <c r="F41" s="9">
        <v>25</v>
      </c>
      <c r="G41" s="4">
        <v>414.85</v>
      </c>
      <c r="H41" s="4">
        <v>2.4104999999999999</v>
      </c>
      <c r="I41" s="4">
        <v>13215</v>
      </c>
      <c r="J41" s="4">
        <v>5481.7</v>
      </c>
      <c r="K41" s="4">
        <v>7.5700000000000003E-2</v>
      </c>
      <c r="L41" s="4">
        <v>3.3300000000000003E-2</v>
      </c>
      <c r="M41" s="4">
        <v>0.05</v>
      </c>
    </row>
    <row r="42" spans="1:13">
      <c r="A42" s="1">
        <v>37</v>
      </c>
      <c r="B42" s="4">
        <v>4.4526000000000003</v>
      </c>
      <c r="C42" s="4">
        <v>224.59</v>
      </c>
      <c r="D42" s="4">
        <v>0.11310000000000001</v>
      </c>
      <c r="E42" s="4">
        <f t="shared" si="1"/>
        <v>1.0046507000896435E-2</v>
      </c>
      <c r="F42" s="9">
        <v>19.826000000000001</v>
      </c>
      <c r="G42" s="4">
        <v>523.11</v>
      </c>
      <c r="H42" s="4">
        <v>1.9116</v>
      </c>
      <c r="I42" s="4">
        <v>16663</v>
      </c>
      <c r="J42" s="4">
        <v>8716.2000000000007</v>
      </c>
      <c r="K42" s="4">
        <v>0.06</v>
      </c>
      <c r="L42" s="4">
        <v>2.64E-2</v>
      </c>
      <c r="M42" s="4">
        <v>3.9699999999999999E-2</v>
      </c>
    </row>
    <row r="43" spans="1:13">
      <c r="A43" s="1">
        <v>38</v>
      </c>
      <c r="B43" s="4">
        <v>3.9651999999999998</v>
      </c>
      <c r="C43" s="4">
        <v>252.2</v>
      </c>
      <c r="D43" s="4">
        <v>0.1007</v>
      </c>
      <c r="E43" s="4">
        <f t="shared" si="1"/>
        <v>7.9643222219501902E-3</v>
      </c>
      <c r="F43" s="9">
        <v>15.723000000000001</v>
      </c>
      <c r="G43" s="4">
        <v>659.63</v>
      </c>
      <c r="H43" s="4">
        <v>1.516</v>
      </c>
      <c r="I43" s="4">
        <v>21012</v>
      </c>
      <c r="J43" s="4">
        <v>13859</v>
      </c>
      <c r="K43" s="4">
        <v>4.7600000000000003E-2</v>
      </c>
      <c r="L43" s="4">
        <v>2.1000000000000001E-2</v>
      </c>
      <c r="M43" s="4">
        <v>3.1399999999999997E-2</v>
      </c>
    </row>
    <row r="44" spans="1:13">
      <c r="A44" s="1">
        <v>39</v>
      </c>
      <c r="B44" s="4">
        <v>3.5310999999999999</v>
      </c>
      <c r="C44" s="4">
        <v>283.2</v>
      </c>
      <c r="D44" s="4">
        <v>8.9700000000000002E-2</v>
      </c>
      <c r="E44" s="4">
        <f t="shared" si="1"/>
        <v>6.3193843085305752E-3</v>
      </c>
      <c r="F44" s="9">
        <v>12.468999999999999</v>
      </c>
      <c r="G44" s="4">
        <v>831.78</v>
      </c>
      <c r="H44" s="4">
        <v>1.2021999999999999</v>
      </c>
      <c r="I44" s="4">
        <v>26496</v>
      </c>
      <c r="J44" s="4">
        <v>22037</v>
      </c>
      <c r="K44" s="4">
        <v>3.7699999999999997E-2</v>
      </c>
      <c r="L44" s="4">
        <v>1.66E-2</v>
      </c>
      <c r="M44" s="4">
        <v>2.4899999999999999E-2</v>
      </c>
    </row>
    <row r="45" spans="1:13">
      <c r="A45" s="1">
        <v>40</v>
      </c>
      <c r="B45" s="4">
        <v>3.1444999999999999</v>
      </c>
      <c r="C45" s="4">
        <v>318.01</v>
      </c>
      <c r="D45" s="4">
        <v>7.9899999999999999E-2</v>
      </c>
      <c r="E45" s="4">
        <f t="shared" si="1"/>
        <v>5.0139897291109434E-3</v>
      </c>
      <c r="F45" s="9">
        <v>9.8879999999999999</v>
      </c>
      <c r="G45" s="4">
        <v>1048.9000000000001</v>
      </c>
      <c r="H45" s="4">
        <v>0.95340000000000003</v>
      </c>
      <c r="I45" s="4">
        <v>33410</v>
      </c>
      <c r="J45" s="4">
        <v>35040</v>
      </c>
      <c r="K45" s="4">
        <v>2.9899999999999999E-2</v>
      </c>
      <c r="L45" s="4">
        <v>1.32E-2</v>
      </c>
      <c r="M45" s="4">
        <v>1.9800000000000002E-2</v>
      </c>
    </row>
    <row r="46" spans="1:13">
      <c r="A46" s="2"/>
    </row>
    <row r="47" spans="1:13">
      <c r="B47" s="1" t="s">
        <v>15</v>
      </c>
    </row>
    <row r="48" spans="1:13">
      <c r="B48" s="1" t="s">
        <v>16</v>
      </c>
    </row>
    <row r="49" spans="2:2">
      <c r="B49" s="1" t="s">
        <v>17</v>
      </c>
    </row>
    <row r="50" spans="2:2">
      <c r="B50" s="1" t="s">
        <v>18</v>
      </c>
    </row>
    <row r="51" spans="2:2">
      <c r="B51" s="1" t="s">
        <v>19</v>
      </c>
    </row>
    <row r="52" spans="2:2">
      <c r="B52" s="1" t="s">
        <v>20</v>
      </c>
    </row>
    <row r="53" spans="2:2">
      <c r="B53" s="1" t="s">
        <v>21</v>
      </c>
    </row>
    <row r="54" spans="2:2">
      <c r="B54" s="1" t="s">
        <v>22</v>
      </c>
    </row>
    <row r="55" spans="2:2">
      <c r="B55" s="1" t="s">
        <v>23</v>
      </c>
    </row>
    <row r="56" spans="2:2">
      <c r="B56" s="1" t="s">
        <v>24</v>
      </c>
    </row>
    <row r="57" spans="2:2">
      <c r="B57" s="1" t="s">
        <v>25</v>
      </c>
    </row>
    <row r="58" spans="2:2">
      <c r="B58" s="1" t="s">
        <v>26</v>
      </c>
    </row>
    <row r="59" spans="2:2">
      <c r="B59" s="2"/>
    </row>
  </sheetData>
  <autoFilter ref="A1:M45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Current Capacity</vt:lpstr>
      <vt:lpstr>Conductor Area</vt:lpstr>
      <vt:lpstr>Model</vt:lpstr>
      <vt:lpstr>Temperature_C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Barajas, Leandro</dc:creator>
  <cp:lastModifiedBy>Carley Byerley</cp:lastModifiedBy>
  <cp:lastPrinted>2015-01-12T18:36:05Z</cp:lastPrinted>
  <dcterms:created xsi:type="dcterms:W3CDTF">2012-09-10T19:41:16Z</dcterms:created>
  <dcterms:modified xsi:type="dcterms:W3CDTF">2026-04-13T22:24:59Z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a81f-7ed4-4faa-9408-9652e001dd96_Enabled">
    <vt:lpwstr>true</vt:lpwstr>
  </property>
  <property fmtid="{D5CDD505-2E9C-101B-9397-08002B2CF9AE}" pid="3" name="MSIP_Label_c968a81f-7ed4-4faa-9408-9652e001dd96_SetDate">
    <vt:lpwstr>2023-06-12T18:47:08Z</vt:lpwstr>
  </property>
  <property fmtid="{D5CDD505-2E9C-101B-9397-08002B2CF9AE}" pid="4" name="MSIP_Label_c968a81f-7ed4-4faa-9408-9652e001dd96_Method">
    <vt:lpwstr>Privileged</vt:lpwstr>
  </property>
  <property fmtid="{D5CDD505-2E9C-101B-9397-08002B2CF9AE}" pid="5" name="MSIP_Label_c968a81f-7ed4-4faa-9408-9652e001dd96_Name">
    <vt:lpwstr>Unrestricted</vt:lpwstr>
  </property>
  <property fmtid="{D5CDD505-2E9C-101B-9397-08002B2CF9AE}" pid="6" name="MSIP_Label_c968a81f-7ed4-4faa-9408-9652e001dd96_SiteId">
    <vt:lpwstr>b64da4ac-e800-4cfc-8931-e607f720a1b8</vt:lpwstr>
  </property>
  <property fmtid="{D5CDD505-2E9C-101B-9397-08002B2CF9AE}" pid="7" name="MSIP_Label_c968a81f-7ed4-4faa-9408-9652e001dd96_ActionId">
    <vt:lpwstr>990cdf5f-9246-43b0-bd31-3dddc1b36a7d</vt:lpwstr>
  </property>
  <property fmtid="{D5CDD505-2E9C-101B-9397-08002B2CF9AE}" pid="8" name="MSIP_Label_c968a81f-7ed4-4faa-9408-9652e001dd96_ContentBits">
    <vt:lpwstr>0</vt:lpwstr>
  </property>
</Properties>
</file>
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carby\OneDrive\Documents\INSY_7740\"/>
    </mc:Choice>
  </mc:AlternateContent>
  <xr:revisionPtr revIDLastSave="0" documentId="13_ncr:1_{40632572-2F56-407E-8562-D9A0573E7CF7}" xr6:coauthVersionLast="47" xr6:coauthVersionMax="47" xr10:uidLastSave="{00000000-0000-0000-0000-000000000000}"/>
  <bookViews>
    <workbookView xWindow="28680" yWindow="2940" windowWidth="29040" windowHeight="15720" xr2:uid="{00000000-000D-0000-FFFF-FFFF00000000}"/>
  </bookViews>
  <sheets>
    <sheet name="Calculation" sheetId="1" r:id="rId1"/>
    <sheet name="Cable Length Calculator" sheetId="7" r:id="rId2"/>
    <sheet name="Bundle Factor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F5" i="7" s="1"/>
  <c r="G5" i="7" s="1"/>
  <c r="B5" i="7"/>
  <c r="E4" i="7"/>
  <c r="F4" i="7" s="1"/>
  <c r="G4" i="7" s="1"/>
  <c r="E3" i="7"/>
  <c r="F3" i="7" s="1"/>
  <c r="G3" i="7" s="1"/>
  <c r="G7" i="7" l="1"/>
  <c r="D39" i="1"/>
  <c r="C3" i="2"/>
  <c r="C4" i="2"/>
  <c r="C5" i="2"/>
  <c r="C6" i="2"/>
  <c r="C7" i="2"/>
  <c r="C8" i="2"/>
  <c r="C9" i="2"/>
  <c r="C10" i="2"/>
  <c r="C11" i="2"/>
  <c r="C12" i="2"/>
  <c r="C13" i="2"/>
  <c r="C14" i="2"/>
  <c r="C21" i="2"/>
  <c r="E18" i="1"/>
  <c r="B30" i="1" l="1"/>
  <c r="D30" i="1" s="1"/>
  <c r="E41" i="1"/>
  <c r="D29" i="1"/>
  <c r="E29" i="1"/>
  <c r="E30" i="1" l="1"/>
  <c r="E23" i="1"/>
  <c r="D23" i="1"/>
  <c r="D41" i="1"/>
  <c r="D26" i="1"/>
  <c r="D27" i="1"/>
  <c r="D28" i="1"/>
  <c r="D31" i="1"/>
  <c r="D32" i="1"/>
  <c r="D33" i="1"/>
  <c r="D35" i="1"/>
  <c r="D36" i="1"/>
  <c r="D37" i="1"/>
  <c r="D38" i="1"/>
  <c r="D40" i="1"/>
  <c r="D25" i="1"/>
  <c r="D13" i="1"/>
  <c r="D14" i="1"/>
  <c r="D15" i="1"/>
  <c r="D16" i="1"/>
  <c r="D17" i="1"/>
  <c r="D18" i="1"/>
  <c r="D19" i="1"/>
  <c r="D20" i="1"/>
  <c r="D21" i="1"/>
  <c r="D22" i="1"/>
  <c r="D12" i="1"/>
  <c r="E40" i="1"/>
  <c r="E38" i="1"/>
  <c r="E37" i="1"/>
  <c r="E36" i="1"/>
  <c r="E35" i="1"/>
  <c r="E33" i="1"/>
  <c r="E32" i="1"/>
  <c r="E31" i="1"/>
  <c r="E28" i="1"/>
  <c r="E27" i="1"/>
  <c r="E26" i="1"/>
  <c r="E25" i="1"/>
  <c r="E13" i="1"/>
  <c r="E14" i="1"/>
  <c r="E15" i="1"/>
  <c r="E16" i="1"/>
  <c r="E17" i="1"/>
  <c r="E19" i="1"/>
  <c r="E20" i="1"/>
  <c r="E21" i="1"/>
  <c r="E22" i="1"/>
  <c r="E12" i="1"/>
  <c r="C15" i="2"/>
  <c r="C16" i="2"/>
  <c r="C17" i="2"/>
  <c r="C18" i="2"/>
  <c r="C19" i="2"/>
  <c r="C20"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E45" i="1" l="1"/>
  <c r="L4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Johnson, Ashton</author>
  </authors>
  <commentList>
    <comment ref="B30" authorId="0" shapeId="0" xr:uid="{00000000-0006-0000-0000-000001000000}">
      <text>
        <r>
          <rPr>
            <b/>
            <sz val="9"/>
            <color indexed="81"/>
            <rFont val="Tahoma"/>
            <family val="2"/>
          </rPr>
          <t>Johnson, Ashton:</t>
        </r>
        <r>
          <rPr>
            <sz val="9"/>
            <color indexed="81"/>
            <rFont val="Tahoma"/>
            <family val="2"/>
          </rPr>
          <t xml:space="preserve">
haven't found stated diameter of this anywhere, so just took average b/w 2 and 4 conductors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Kiper, Kip</author>
  </authors>
  <commentList>
    <comment ref="F2" authorId="0" shapeId="0" xr:uid="{5BC9F1BA-3AE3-4210-866C-30212D4EE085}">
      <text>
        <r>
          <rPr>
            <b/>
            <sz val="9"/>
            <color indexed="81"/>
            <rFont val="Tahoma"/>
            <family val="2"/>
          </rPr>
          <t>Kiper, Kip:</t>
        </r>
        <r>
          <rPr>
            <sz val="9"/>
            <color indexed="81"/>
            <rFont val="Tahoma"/>
            <family val="2"/>
          </rPr>
          <t xml:space="preserve">
Has 3" and 3% margin added to each branch (see hidden D column)</t>
        </r>
      </text>
    </comment>
  </commentList>
</comments>
</file>

<file path=xl/sharedStrings.xml><?xml version="1.0" encoding="utf-8"?>
<sst xmlns="http://schemas.openxmlformats.org/spreadsheetml/2006/main" count="142" uniqueCount="123">
  <si>
    <t>Cable and Wire Bundle Calculator
To compute the bundle diameter, enter in the number of wires or cables used in the cable run. 
The results are computes and posed to E39</t>
  </si>
  <si>
    <t xml:space="preserve">Shrink Sleeving Ranges. GREEN Boxes indicated that the MAX or MIN values are within the range of the Computed Bundle Diameter in E39. 
To choose an acceptable shrink sleeving, for a given row the MIN and the MAX must be GREEN. </t>
  </si>
  <si>
    <t>Tubular Braid Ranges. GREEN Boxes indicated that nominal diameter is  within the range of the Computed Bundle Diameter in E39. Pick the nearest size smaller than the diameter and add additional length to BOM qty to account for sleeving expansion.</t>
  </si>
  <si>
    <t>Wire/Cable Material</t>
  </si>
  <si>
    <t>Wire
Diameter (inches)</t>
  </si>
  <si>
    <t>Number of Wires/Cables 
In Bundle</t>
  </si>
  <si>
    <t>Intermediate Avg Wire Dia</t>
  </si>
  <si>
    <t>Bundle Diameter of a 
bundle with material 
of same size (inches)</t>
  </si>
  <si>
    <t>M23053/13-xxx-0
Shrink Sleeving</t>
  </si>
  <si>
    <t>Max</t>
  </si>
  <si>
    <t>Min</t>
  </si>
  <si>
    <t>Wall Thickness</t>
  </si>
  <si>
    <t>M23053/16-xxx-0
Heavy Duty 
Shink Sleeving</t>
  </si>
  <si>
    <t xml:space="preserve">AA59569RxxTyyy
Tubular Braid </t>
  </si>
  <si>
    <t>AWG</t>
  </si>
  <si>
    <t>Inside Diameter 
(inches)</t>
  </si>
  <si>
    <t xml:space="preserve">GRP-110NFXXX
Snakeskin Sleeving </t>
  </si>
  <si>
    <t>VICD Number</t>
  </si>
  <si>
    <t>M23053/5-xxx-9
Labels</t>
  </si>
  <si>
    <t>Hook Up Wire</t>
  </si>
  <si>
    <t>-012</t>
  </si>
  <si>
    <t>-001</t>
  </si>
  <si>
    <t>AA59569R36T0031</t>
  </si>
  <si>
    <t>GRP-110NF18</t>
  </si>
  <si>
    <t>10111656-001</t>
  </si>
  <si>
    <t>M22758/11-8-x</t>
  </si>
  <si>
    <t>-002</t>
  </si>
  <si>
    <t>AA59569R36T0062</t>
  </si>
  <si>
    <t>GRP-110NF14</t>
  </si>
  <si>
    <t>10111656-002</t>
  </si>
  <si>
    <t>M22758/11-10-x</t>
  </si>
  <si>
    <t>-003</t>
  </si>
  <si>
    <t>AA59569R34T0062</t>
  </si>
  <si>
    <t>GRP-110NF12</t>
  </si>
  <si>
    <t>10111656-003</t>
  </si>
  <si>
    <t>M22758/11-12-x</t>
  </si>
  <si>
    <t>-004</t>
  </si>
  <si>
    <t>AA59569R36T0078</t>
  </si>
  <si>
    <t>GRP-110NF34</t>
  </si>
  <si>
    <t>10111656-004</t>
  </si>
  <si>
    <t>M22758/11-14-x</t>
  </si>
  <si>
    <t>-005</t>
  </si>
  <si>
    <t>AA59569R36T0109</t>
  </si>
  <si>
    <t>GRP-110NF114</t>
  </si>
  <si>
    <t>10111656-005</t>
  </si>
  <si>
    <t>M22758/11-16-x</t>
  </si>
  <si>
    <t>-006</t>
  </si>
  <si>
    <t>AA59569R36T0125</t>
  </si>
  <si>
    <t>GRP-110NF112</t>
  </si>
  <si>
    <t>10111656-006</t>
  </si>
  <si>
    <t>M22758/11-18-x</t>
  </si>
  <si>
    <t>-007</t>
  </si>
  <si>
    <t>AA59569R34T0125</t>
  </si>
  <si>
    <t>M22758/11-20-x</t>
  </si>
  <si>
    <t>-008</t>
  </si>
  <si>
    <t>AA59569R36T0156</t>
  </si>
  <si>
    <t>M22758/11-22-x</t>
  </si>
  <si>
    <t>-009</t>
  </si>
  <si>
    <t>AA59569R36T0171</t>
  </si>
  <si>
    <t>M22758/11-24-x</t>
  </si>
  <si>
    <t>AA59569R34T0171</t>
  </si>
  <si>
    <t>M22758/11-26-x</t>
  </si>
  <si>
    <t>-010</t>
  </si>
  <si>
    <t>AA59569R36T0203</t>
  </si>
  <si>
    <t>M22758/11-28-x</t>
  </si>
  <si>
    <t>-011</t>
  </si>
  <si>
    <t>AA59569R34T0203</t>
  </si>
  <si>
    <t>insert your wire mat'l here
add the wire diameter to &gt;&gt;</t>
  </si>
  <si>
    <t>AA59569R36T0250</t>
  </si>
  <si>
    <t>Cable</t>
  </si>
  <si>
    <t>AA59569R30T0281</t>
  </si>
  <si>
    <t>M27500-8RC2S06</t>
  </si>
  <si>
    <t>AA59569R36T0375</t>
  </si>
  <si>
    <t>Overexpanded</t>
  </si>
  <si>
    <t>M27500-10RC2S06</t>
  </si>
  <si>
    <t>AA59569R34T0375</t>
  </si>
  <si>
    <t>M27500-12RC2S06</t>
  </si>
  <si>
    <t>AA59569R32T0375</t>
  </si>
  <si>
    <t>M27500-14RC2S06</t>
  </si>
  <si>
    <t>AA59569R30T0437</t>
  </si>
  <si>
    <r>
      <t>M27500-16RC</t>
    </r>
    <r>
      <rPr>
        <b/>
        <sz val="11"/>
        <color theme="1"/>
        <rFont val="Calibri"/>
        <family val="2"/>
        <scheme val="minor"/>
      </rPr>
      <t>4</t>
    </r>
    <r>
      <rPr>
        <sz val="11"/>
        <color theme="1"/>
        <rFont val="Calibri"/>
        <family val="2"/>
        <scheme val="minor"/>
      </rPr>
      <t>S06</t>
    </r>
  </si>
  <si>
    <t>AA59569R36T0500</t>
  </si>
  <si>
    <r>
      <t>M27500-16RC</t>
    </r>
    <r>
      <rPr>
        <b/>
        <sz val="11"/>
        <color theme="1"/>
        <rFont val="Calibri"/>
        <family val="2"/>
        <scheme val="minor"/>
      </rPr>
      <t>3</t>
    </r>
    <r>
      <rPr>
        <sz val="11"/>
        <color theme="1"/>
        <rFont val="Calibri"/>
        <family val="2"/>
        <scheme val="minor"/>
      </rPr>
      <t>S06</t>
    </r>
  </si>
  <si>
    <t>AA59569R34T0500</t>
  </si>
  <si>
    <r>
      <t>M27500-16RC</t>
    </r>
    <r>
      <rPr>
        <b/>
        <sz val="11"/>
        <color theme="1"/>
        <rFont val="Calibri"/>
        <family val="2"/>
        <scheme val="minor"/>
      </rPr>
      <t>2</t>
    </r>
    <r>
      <rPr>
        <sz val="11"/>
        <color theme="1"/>
        <rFont val="Calibri"/>
        <family val="2"/>
        <scheme val="minor"/>
      </rPr>
      <t>S06</t>
    </r>
  </si>
  <si>
    <t>AA59569R30T0500</t>
  </si>
  <si>
    <t>M27500-18RC2S06</t>
  </si>
  <si>
    <t>AA59569R30T0562</t>
  </si>
  <si>
    <t>M27500-20RC2S06</t>
  </si>
  <si>
    <t>AA59569R30T0656</t>
  </si>
  <si>
    <t>M27500-20RC4S06</t>
  </si>
  <si>
    <t>AA59569R36T0781</t>
  </si>
  <si>
    <t>M27500-22RC2S06</t>
  </si>
  <si>
    <t>AA59569R34T0781</t>
  </si>
  <si>
    <t>M27500-24RC2S06</t>
  </si>
  <si>
    <t>AA59569R32T0781</t>
  </si>
  <si>
    <t>M27500-26RC2S06</t>
  </si>
  <si>
    <t>AA59569R30T0875</t>
  </si>
  <si>
    <t>M27500-28RC2S06</t>
  </si>
  <si>
    <t>AA59569R30T1000</t>
  </si>
  <si>
    <t>M17/176-00002 (TWINAX)</t>
  </si>
  <si>
    <t>AA59569R30T1125</t>
  </si>
  <si>
    <t>MX10G-24FLX (Ethernet)</t>
  </si>
  <si>
    <t>AA59569R30T1375</t>
  </si>
  <si>
    <t>M17/113-RG316 (COAX)</t>
  </si>
  <si>
    <t>AA59569R30T1500</t>
  </si>
  <si>
    <t>Bundle Diameter of a 
cable + sleeving(inches)</t>
  </si>
  <si>
    <t>AA59569R30T2000</t>
  </si>
  <si>
    <t>Bundle Diameter of a 
a mixutre of sized wires (inches)</t>
  </si>
  <si>
    <t>Cable/Branch Length (inches)</t>
  </si>
  <si>
    <t>FN</t>
  </si>
  <si>
    <t># of runs</t>
  </si>
  <si>
    <t>Add 3" Tolerance and 3% margin</t>
  </si>
  <si>
    <t xml:space="preserve">Totalized Quantity w/ margin (Inches) </t>
  </si>
  <si>
    <r>
      <t xml:space="preserve">Totalized Quantity (Feet) </t>
    </r>
    <r>
      <rPr>
        <sz val="9"/>
        <color theme="1"/>
        <rFont val="Arial"/>
        <family val="2"/>
      </rPr>
      <t>Rounded up to nearest 0.5</t>
    </r>
  </si>
  <si>
    <t>From J1 to Switches
(6+24)</t>
  </si>
  <si>
    <t>TSP</t>
  </si>
  <si>
    <t>From: P1 to J1</t>
  </si>
  <si>
    <t>Hook up</t>
  </si>
  <si>
    <t>shrink</t>
  </si>
  <si>
    <t>Number of Wires</t>
  </si>
  <si>
    <t>Provided Data</t>
  </si>
  <si>
    <t>Computed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</si>
</sst>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Calibri"/>
      <family val="2"/>
      <scheme val="minor"/>
    </font>
    <font>
      <sz val="11"/>
      <color rgb="FF3F3F76"/>
      <name val="Calibri"/>
      <family val="2"/>
      <scheme val="minor"/>
    </font>
    <font>
      <b/>
      <sz val="11"/>
      <color theme="1"/>
      <name val="Calibri"/>
      <family val="2"/>
      <scheme val="minor"/>
    </font>
    <font>
      <b/>
      <sz val="14"/>
      <color theme="1"/>
      <name val="Calibri"/>
      <family val="2"/>
      <scheme val="minor"/>
    </font>
    <font>
      <sz val="16"/>
      <color theme="1"/>
      <name val="Calibri"/>
      <family val="2"/>
      <scheme val="minor"/>
    </font>
    <font>
      <i/>
      <sz val="11"/>
      <color theme="1"/>
      <name val="Calibri"/>
      <family val="2"/>
      <scheme val="minor"/>
    </font>
    <font>
      <sz val="9"/>
      <color indexed="81"/>
      <name val="Tahoma"/>
      <family val="2"/>
    </font>
    <font>
      <b/>
      <sz val="9"/>
      <color indexed="81"/>
      <name val="Tahoma"/>
      <family val="2"/>
    </font>
    <font>
      <sz val="8"/>
      <name val="Calibri"/>
      <family val="2"/>
      <scheme val="minor"/>
    </font>
    <font>
      <sz val="9"/>
      <color theme="1"/>
      <name val="Arial"/>
      <family val="2"/>
    </font>
  </fonts>
  <fills count="6">
    <fill>
      <patternFill patternType="none"/>
    </fill>
    <fill>
      <patternFill patternType="gray125"/>
    </fill>
    <fill>
      <patternFill patternType="solid">
        <fgColor rgb="FFFFCC99"/>
      </patternFill>
    </fill>
    <fill>
      <patternFill patternType="solid">
        <fgColor theme="2" tint="-0.249977111117893"/>
        <bgColor indexed="64"/>
      </patternFill>
    </fill>
    <fill>
      <patternFill patternType="solid">
        <fgColor theme="4" tint="0.59999389629810485"/>
        <bgColor indexed="64"/>
      </patternFill>
    </fill>
    <fill>
      <patternFill patternType="solid">
        <fgColor rgb="FFFFFF00"/>
        <bgColor indexed="64"/>
      </patternFill>
    </fill>
  </fills>
  <borders count="23">
    <border>
      <left/>
      <right/>
      <top/>
      <bottom/>
      <diagonal/>
    </border>
    <border>
      <left style="thin">
        <color rgb="FF7F7F7F"/>
      </left>
      <right style="thin">
        <color rgb="FF7F7F7F"/>
      </right>
      <top style="thin">
        <color rgb="FF7F7F7F"/>
      </top>
      <bottom style="thin">
        <color rgb="FF7F7F7F"/>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2" borderId="1" applyNumberFormat="0" applyAlignment="0" applyProtection="0"/>
  </cellStyleXfs>
  <cellXfs count="65">
    <xf numFmtId="0" fontId="0" fillId="0" borderId="0" xfId="0"/>
    <xf numFmtId="0" fontId="2" fillId="0" borderId="0" xfId="0" applyFont="1"/>
    <xf numFmtId="0" fontId="3" fillId="0" borderId="0" xfId="0" applyFont="1"/>
    <xf numFmtId="0" fontId="3" fillId="0" borderId="0" xfId="0" applyFont="1" applyAlignment="1">
      <alignment wrapText="1"/>
    </xf>
    <xf numFmtId="0" fontId="1" fillId="2" borderId="1" xfId="1" applyAlignment="1">
      <alignment horizontal="center" wrapText="1"/>
    </xf>
    <xf numFmtId="2" fontId="0" fillId="0" borderId="0" xfId="0" applyNumberFormat="1"/>
    <xf numFmtId="0" fontId="2" fillId="0" borderId="3" xfId="0" applyFont="1" applyBorder="1" applyAlignment="1">
      <alignment wrapText="1"/>
    </xf>
    <xf numFmtId="2" fontId="2" fillId="0" borderId="4" xfId="0" applyNumberFormat="1" applyFont="1" applyBorder="1"/>
    <xf numFmtId="0" fontId="0" fillId="3" borderId="0" xfId="0" applyFill="1"/>
    <xf numFmtId="0" fontId="0" fillId="3" borderId="0" xfId="0" applyFill="1" applyAlignment="1">
      <alignment horizontal="center"/>
    </xf>
    <xf numFmtId="0" fontId="0" fillId="3" borderId="4" xfId="0" applyFill="1" applyBorder="1"/>
    <xf numFmtId="0" fontId="2" fillId="3" borderId="0" xfId="0" applyFont="1" applyFill="1"/>
    <xf numFmtId="0" fontId="2" fillId="3" borderId="0" xfId="0" applyFont="1" applyFill="1" applyAlignment="1">
      <alignment wrapText="1"/>
    </xf>
    <xf numFmtId="0" fontId="2" fillId="3" borderId="4" xfId="0" applyFont="1" applyFill="1" applyBorder="1"/>
    <xf numFmtId="0" fontId="2" fillId="0" borderId="6" xfId="0" applyFont="1" applyBorder="1" applyAlignment="1">
      <alignment wrapText="1"/>
    </xf>
    <xf numFmtId="0" fontId="0" fillId="0" borderId="7" xfId="0" applyBorder="1"/>
    <xf numFmtId="0" fontId="0" fillId="0" borderId="8" xfId="0" applyBorder="1"/>
    <xf numFmtId="0" fontId="0" fillId="0" borderId="9" xfId="0" quotePrefix="1" applyBorder="1"/>
    <xf numFmtId="0" fontId="0" fillId="0" borderId="10" xfId="0" applyBorder="1"/>
    <xf numFmtId="0" fontId="0" fillId="0" borderId="11" xfId="0" quotePrefix="1" applyBorder="1"/>
    <xf numFmtId="0" fontId="0" fillId="0" borderId="12" xfId="0" applyBorder="1"/>
    <xf numFmtId="0" fontId="0" fillId="0" borderId="2" xfId="0" applyBorder="1"/>
    <xf numFmtId="0" fontId="2" fillId="0" borderId="9" xfId="0" applyFont="1" applyBorder="1"/>
    <xf numFmtId="2" fontId="4" fillId="5" borderId="5" xfId="0" applyNumberFormat="1" applyFont="1" applyFill="1" applyBorder="1"/>
    <xf numFmtId="0" fontId="5" fillId="4" borderId="0" xfId="0" applyFont="1" applyFill="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0" fillId="5" borderId="9" xfId="0" quotePrefix="1" applyFill="1" applyBorder="1"/>
    <xf numFmtId="0" fontId="0" fillId="5" borderId="0" xfId="0" applyFill="1"/>
    <xf numFmtId="0" fontId="0" fillId="5" borderId="10" xfId="0" applyFill="1" applyBorder="1"/>
    <xf numFmtId="0" fontId="2" fillId="0" borderId="7" xfId="0" applyFont="1" applyBorder="1" applyAlignment="1">
      <alignment wrapText="1"/>
    </xf>
    <xf numFmtId="164" fontId="0" fillId="0" borderId="0" xfId="0" applyNumberFormat="1"/>
    <xf numFmtId="164" fontId="0" fillId="0" borderId="10" xfId="0" applyNumberFormat="1" applyBorder="1"/>
    <xf numFmtId="164" fontId="0" fillId="0" borderId="12" xfId="0" applyNumberFormat="1" applyBorder="1"/>
    <xf numFmtId="164" fontId="0" fillId="0" borderId="2" xfId="0" applyNumberFormat="1" applyBorder="1"/>
    <xf numFmtId="0" fontId="0" fillId="0" borderId="0" xfId="0" applyAlignment="1">
      <alignment horizont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left" vertical="center"/>
    </xf>
    <xf numFmtId="0" fontId="0" fillId="0" borderId="9" xfId="0" applyBorder="1" applyAlignment="1">
      <alignment horizontal="left" vertical="center"/>
    </xf>
    <xf numFmtId="0" fontId="0" fillId="0" borderId="11" xfId="0" applyBorder="1" applyAlignment="1">
      <alignment horizontal="left" vertical="center"/>
    </xf>
    <xf numFmtId="0" fontId="2" fillId="0" borderId="0" xfId="0" applyFont="1" applyAlignment="1">
      <alignment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center" wrapText="1"/>
    </xf>
    <xf numFmtId="0" fontId="0" fillId="4" borderId="0" xfId="0" applyFill="1" applyAlignment="1">
      <alignment wrapText="1"/>
    </xf>
    <xf numFmtId="0" fontId="0" fillId="0" borderId="0" xfId="0" applyAlignment="1">
      <alignment vertical="center"/>
    </xf>
    <xf numFmtId="0" fontId="0" fillId="0" borderId="0" xfId="0" applyAlignment="1">
      <alignment horizontal="center" wrapText="1"/>
    </xf>
    <xf numFmtId="0" fontId="0" fillId="0" borderId="0" xfId="0"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cellXfs>
  <cellStyles count="2">
    <cellStyle name="Input" xfId="1" builtinId="20"/>
    <cellStyle name="Normal" xfId="0" builtinId="0"/>
  </cellStyles>
  <dxfs count="5">
    <dxf>
      <fill>
        <patternFill>
          <bgColor theme="9"/>
        </patternFill>
      </fill>
    </dxf>
    <dxf>
      <fill>
        <patternFill>
          <bgColor theme="9"/>
        </patternFill>
      </fill>
    </dxf>
    <dxf>
      <fill>
        <patternFill>
          <bgColor theme="9" tint="0.39994506668294322"/>
        </patternFill>
      </fill>
    </dxf>
    <dxf>
      <fill>
        <patternFill>
          <bgColor theme="9" tint="0.3999450666829432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0.4531441674568043"/>
                  <c:y val="-3.9364975211431903E-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'Bundle Factors'!$A$2:$A$301</c:f>
              <c:numCache>
                <c:formatCode>General</c:formatCode>
                <c:ptCount val="3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numCache>
            </c:numRef>
          </c:xVal>
          <c:yVal>
            <c:numRef>
              <c:f>'Bundle Factors'!$B$2:$B$301</c:f>
              <c:numCache>
                <c:formatCode>General</c:formatCode>
                <c:ptCount val="300"/>
                <c:pt idx="0">
                  <c:v>1</c:v>
                </c:pt>
                <c:pt idx="1">
                  <c:v>2</c:v>
                </c:pt>
                <c:pt idx="2">
                  <c:v>2.2000000000000002</c:v>
                </c:pt>
                <c:pt idx="3">
                  <c:v>2.4</c:v>
                </c:pt>
                <c:pt idx="4">
                  <c:v>2.7</c:v>
                </c:pt>
                <c:pt idx="5">
                  <c:v>2.9</c:v>
                </c:pt>
                <c:pt idx="6">
                  <c:v>3</c:v>
                </c:pt>
                <c:pt idx="7">
                  <c:v>3.3</c:v>
                </c:pt>
                <c:pt idx="8">
                  <c:v>3.8</c:v>
                </c:pt>
                <c:pt idx="9">
                  <c:v>4</c:v>
                </c:pt>
                <c:pt idx="11">
                  <c:v>4.3</c:v>
                </c:pt>
                <c:pt idx="13">
                  <c:v>4.5999999999999996</c:v>
                </c:pt>
                <c:pt idx="15">
                  <c:v>5</c:v>
                </c:pt>
                <c:pt idx="17">
                  <c:v>5.3</c:v>
                </c:pt>
                <c:pt idx="19">
                  <c:v>5.6</c:v>
                </c:pt>
                <c:pt idx="27">
                  <c:v>6.5</c:v>
                </c:pt>
                <c:pt idx="31">
                  <c:v>6.9</c:v>
                </c:pt>
                <c:pt idx="35">
                  <c:v>7.4</c:v>
                </c:pt>
                <c:pt idx="39">
                  <c:v>7.7</c:v>
                </c:pt>
                <c:pt idx="44">
                  <c:v>8.1</c:v>
                </c:pt>
                <c:pt idx="49">
                  <c:v>8.5</c:v>
                </c:pt>
                <c:pt idx="54">
                  <c:v>8.9</c:v>
                </c:pt>
                <c:pt idx="59">
                  <c:v>9.3000000000000007</c:v>
                </c:pt>
                <c:pt idx="64">
                  <c:v>9.6999999999999993</c:v>
                </c:pt>
                <c:pt idx="69">
                  <c:v>10.1</c:v>
                </c:pt>
                <c:pt idx="74">
                  <c:v>10.5</c:v>
                </c:pt>
                <c:pt idx="79">
                  <c:v>10.9</c:v>
                </c:pt>
                <c:pt idx="89">
                  <c:v>11.6</c:v>
                </c:pt>
                <c:pt idx="99">
                  <c:v>12.2</c:v>
                </c:pt>
                <c:pt idx="124">
                  <c:v>13.7</c:v>
                </c:pt>
                <c:pt idx="149">
                  <c:v>15</c:v>
                </c:pt>
                <c:pt idx="174">
                  <c:v>16.100000000000001</c:v>
                </c:pt>
                <c:pt idx="199">
                  <c:v>17.2</c:v>
                </c:pt>
                <c:pt idx="249">
                  <c:v>19.3</c:v>
                </c:pt>
                <c:pt idx="299">
                  <c:v>21</c:v>
                </c:pt>
              </c:numCache>
            </c:numRef>
          </c:yVal>
          <c:smooth val="1"/>
          <c:extLst>
            <c:ext xmlns:c16="http://schemas.microsoft.com/office/drawing/2014/chart" uri="{C3380CC4-5D6E-409C-BE32-E72D297353CC}">
              <c16:uniqueId val="{00000000-F84E-4C72-8F51-622C218C15F5}"/>
            </c:ext>
          </c:extLst>
        </c:ser>
        <c:dLbls>
          <c:showLegendKey val="0"/>
          <c:showVal val="0"/>
          <c:showCatName val="0"/>
          <c:showSerName val="0"/>
          <c:showPercent val="0"/>
          <c:showBubbleSize val="0"/>
        </c:dLbls>
        <c:axId val="472282816"/>
        <c:axId val="470640144"/>
      </c:scatterChart>
      <c:valAx>
        <c:axId val="47228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40144"/>
        <c:crosses val="autoZero"/>
        <c:crossBetween val="midCat"/>
      </c:valAx>
      <c:valAx>
        <c:axId val="47064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82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874059</xdr:colOff>
      <xdr:row>41</xdr:row>
      <xdr:rowOff>100853</xdr:rowOff>
    </xdr:from>
    <xdr:to>
      <xdr:col>4</xdr:col>
      <xdr:colOff>907676</xdr:colOff>
      <xdr:row>42</xdr:row>
      <xdr:rowOff>156883</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a:off x="5468471" y="8359588"/>
          <a:ext cx="33617" cy="2465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156882</xdr:colOff>
      <xdr:row>22</xdr:row>
      <xdr:rowOff>134471</xdr:rowOff>
    </xdr:from>
    <xdr:to>
      <xdr:col>9</xdr:col>
      <xdr:colOff>571500</xdr:colOff>
      <xdr:row>42</xdr:row>
      <xdr:rowOff>134471</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V="1">
          <a:off x="6163235" y="4953000"/>
          <a:ext cx="3305736" cy="47849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268941</xdr:colOff>
      <xdr:row>34</xdr:row>
      <xdr:rowOff>100853</xdr:rowOff>
    </xdr:from>
    <xdr:to>
      <xdr:col>25</xdr:col>
      <xdr:colOff>593912</xdr:colOff>
      <xdr:row>42</xdr:row>
      <xdr:rowOff>201706</xdr:rowOff>
    </xdr:to>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a:xfrm flipV="1">
          <a:off x="11396382" y="7407088"/>
          <a:ext cx="4874559" cy="23980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435429</xdr:colOff>
      <xdr:row>22</xdr:row>
      <xdr:rowOff>13607</xdr:rowOff>
    </xdr:from>
    <xdr:to>
      <xdr:col>11</xdr:col>
      <xdr:colOff>462643</xdr:colOff>
      <xdr:row>40</xdr:row>
      <xdr:rowOff>190500</xdr:rowOff>
    </xdr:to>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a:off x="10572750" y="5470071"/>
          <a:ext cx="27214" cy="3810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163286</xdr:colOff>
      <xdr:row>42</xdr:row>
      <xdr:rowOff>112059</xdr:rowOff>
    </xdr:from>
    <xdr:to>
      <xdr:col>10</xdr:col>
      <xdr:colOff>414618</xdr:colOff>
      <xdr:row>42</xdr:row>
      <xdr:rowOff>122464</xdr:rowOff>
    </xdr:to>
    <xdr:cxnSp macro="">
      <xdr:nvCxnSpPr>
        <xdr:cNvPr id="13" name="Straight Arrow Connector 12">
          <a:extLst>
            <a:ext uri="{FF2B5EF4-FFF2-40B4-BE49-F238E27FC236}">
              <a16:creationId xmlns:a16="http://schemas.microsoft.com/office/drawing/2014/main" id="{00000000-0008-0000-0000-00000D000000}"/>
            </a:ext>
          </a:extLst>
        </xdr:cNvPr>
        <xdr:cNvCxnSpPr/>
      </xdr:nvCxnSpPr>
      <xdr:spPr>
        <a:xfrm flipV="1">
          <a:off x="6164036" y="10371845"/>
          <a:ext cx="3775582" cy="104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145676</xdr:colOff>
      <xdr:row>20</xdr:row>
      <xdr:rowOff>0</xdr:rowOff>
    </xdr:from>
    <xdr:to>
      <xdr:col>13</xdr:col>
      <xdr:colOff>324970</xdr:colOff>
      <xdr:row>42</xdr:row>
      <xdr:rowOff>123265</xdr:rowOff>
    </xdr:to>
    <xdr:cxnSp macro="">
      <xdr:nvCxnSpPr>
        <xdr:cNvPr id="14" name="Straight Arrow Connector 13">
          <a:extLst>
            <a:ext uri="{FF2B5EF4-FFF2-40B4-BE49-F238E27FC236}">
              <a16:creationId xmlns:a16="http://schemas.microsoft.com/office/drawing/2014/main" id="{00000000-0008-0000-0000-00000E000000}"/>
            </a:ext>
          </a:extLst>
        </xdr:cNvPr>
        <xdr:cNvCxnSpPr/>
      </xdr:nvCxnSpPr>
      <xdr:spPr>
        <a:xfrm flipV="1">
          <a:off x="6152029" y="4426324"/>
          <a:ext cx="6376147" cy="53003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3</xdr:row>
      <xdr:rowOff>57150</xdr:rowOff>
    </xdr:from>
    <xdr:to>
      <xdr:col>11</xdr:col>
      <xdr:colOff>381000</xdr:colOff>
      <xdr:row>17</xdr:row>
      <xdr:rowOff>133350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AB45"/>
  <sheetViews>
    <sheetView tabSelected="1" topLeftCell="A3" zoomScale="70" zoomScaleNormal="70" workbookViewId="0">
      <selection activeCell="C16" sqref="C16"/>
    </sheetView>
  </sheetViews>
  <sheetFormatPr defaultRowHeight="14.4" x14ac:dyDescent="0.3"/>
  <cols>
    <col min="1" max="1" width="28.5546875" bestFit="1" customWidth="1"/>
    <col min="2" max="2" width="18.44140625" bestFit="1" customWidth="1"/>
    <col min="3" max="3" width="21.88671875" customWidth="1"/>
    <col min="4" max="4" width="0" hidden="1" customWidth="1"/>
    <col min="5" max="5" width="21.109375" bestFit="1" customWidth="1"/>
    <col min="9" max="9" width="16.109375" bestFit="1" customWidth="1"/>
    <col min="12" max="12" width="15.33203125" bestFit="1" customWidth="1"/>
    <col min="13" max="13" width="16.109375" bestFit="1" customWidth="1"/>
    <col min="16" max="16" width="15.33203125" bestFit="1" customWidth="1"/>
    <col min="17" max="17" width="29.109375" customWidth="1"/>
    <col min="18" max="19" width="15.33203125" style="37" customWidth="1"/>
    <col min="20" max="24" width="15.33203125" customWidth="1"/>
    <col min="25" max="25" width="18.5546875" customWidth="1"/>
    <col min="28" max="28" width="15.33203125" bestFit="1" customWidth="1"/>
  </cols>
  <sheetData>
    <row r="7" spans="1:28" ht="15" thickBot="1" x14ac:dyDescent="0.35"/>
    <row r="8" spans="1:28" ht="15" customHeight="1" x14ac:dyDescent="0.3">
      <c r="A8" s="53" t="s">
        <v>0</v>
      </c>
      <c r="B8" s="54"/>
      <c r="C8" s="54"/>
      <c r="D8" s="54"/>
      <c r="E8" s="54"/>
      <c r="I8" s="55" t="s">
        <v>1</v>
      </c>
      <c r="J8" s="56"/>
      <c r="K8" s="56"/>
      <c r="L8" s="56"/>
      <c r="M8" s="56"/>
      <c r="N8" s="56"/>
      <c r="O8" s="56"/>
      <c r="P8" s="56"/>
      <c r="Q8" s="59" t="s">
        <v>2</v>
      </c>
      <c r="R8" s="60"/>
      <c r="S8" s="61"/>
      <c r="T8" s="15"/>
      <c r="U8" s="15"/>
      <c r="V8" s="15"/>
      <c r="W8" s="15"/>
      <c r="X8" s="15"/>
      <c r="Y8" s="15"/>
      <c r="Z8" s="15"/>
      <c r="AA8" s="15"/>
      <c r="AB8" s="16"/>
    </row>
    <row r="9" spans="1:28" ht="45.75" customHeight="1" thickBot="1" x14ac:dyDescent="0.35">
      <c r="A9" s="54"/>
      <c r="B9" s="54"/>
      <c r="C9" s="54"/>
      <c r="D9" s="54"/>
      <c r="E9" s="54"/>
      <c r="I9" s="57"/>
      <c r="J9" s="58"/>
      <c r="K9" s="58"/>
      <c r="L9" s="58"/>
      <c r="M9" s="58"/>
      <c r="N9" s="58"/>
      <c r="O9" s="58"/>
      <c r="P9" s="58"/>
      <c r="Q9" s="62"/>
      <c r="R9" s="63"/>
      <c r="S9" s="64"/>
      <c r="T9" s="20"/>
      <c r="U9" s="20"/>
      <c r="V9" s="20"/>
      <c r="W9" s="20"/>
      <c r="X9" s="20"/>
      <c r="Y9" s="20"/>
      <c r="Z9" s="20"/>
      <c r="AA9" s="20"/>
      <c r="AB9" s="21"/>
    </row>
    <row r="10" spans="1:28" ht="79.5" customHeight="1" thickBot="1" x14ac:dyDescent="0.4">
      <c r="A10" s="2" t="s">
        <v>3</v>
      </c>
      <c r="B10" s="3" t="s">
        <v>4</v>
      </c>
      <c r="C10" s="3" t="s">
        <v>5</v>
      </c>
      <c r="D10" s="1" t="s">
        <v>6</v>
      </c>
      <c r="E10" s="6" t="s">
        <v>7</v>
      </c>
      <c r="F10" s="1"/>
      <c r="I10" s="14" t="s">
        <v>8</v>
      </c>
      <c r="J10" s="15" t="s">
        <v>9</v>
      </c>
      <c r="K10" s="15" t="s">
        <v>10</v>
      </c>
      <c r="L10" s="16" t="s">
        <v>11</v>
      </c>
      <c r="M10" s="14" t="s">
        <v>12</v>
      </c>
      <c r="N10" s="15" t="s">
        <v>9</v>
      </c>
      <c r="O10" s="15" t="s">
        <v>10</v>
      </c>
      <c r="P10" s="16" t="s">
        <v>11</v>
      </c>
      <c r="Q10" s="47" t="s">
        <v>13</v>
      </c>
      <c r="R10" s="48" t="s">
        <v>14</v>
      </c>
      <c r="S10" s="49" t="s">
        <v>15</v>
      </c>
      <c r="T10" s="14" t="s">
        <v>16</v>
      </c>
      <c r="U10" s="32" t="s">
        <v>17</v>
      </c>
      <c r="V10" s="15" t="s">
        <v>9</v>
      </c>
      <c r="W10" s="15" t="s">
        <v>10</v>
      </c>
      <c r="X10" s="16" t="s">
        <v>11</v>
      </c>
      <c r="Y10" s="14" t="s">
        <v>18</v>
      </c>
      <c r="Z10" s="15" t="s">
        <v>9</v>
      </c>
      <c r="AA10" s="15" t="s">
        <v>10</v>
      </c>
      <c r="AB10" s="16" t="s">
        <v>11</v>
      </c>
    </row>
    <row r="11" spans="1:28" x14ac:dyDescent="0.3">
      <c r="A11" s="1" t="s">
        <v>19</v>
      </c>
      <c r="B11" s="11"/>
      <c r="C11" s="12"/>
      <c r="D11" s="11"/>
      <c r="E11" s="13"/>
      <c r="F11" s="1"/>
      <c r="I11" s="17" t="s">
        <v>20</v>
      </c>
      <c r="J11">
        <v>0.125</v>
      </c>
      <c r="K11">
        <v>6.2E-2</v>
      </c>
      <c r="L11" s="18">
        <v>0.03</v>
      </c>
      <c r="M11" s="17" t="s">
        <v>21</v>
      </c>
      <c r="N11">
        <v>0.25</v>
      </c>
      <c r="O11">
        <v>0.125</v>
      </c>
      <c r="P11">
        <v>3.5000000000000003E-2</v>
      </c>
      <c r="Q11" s="44" t="s">
        <v>22</v>
      </c>
      <c r="R11" s="38">
        <v>36</v>
      </c>
      <c r="S11" s="39">
        <v>3.1E-2</v>
      </c>
      <c r="T11" t="s">
        <v>23</v>
      </c>
      <c r="U11" t="s">
        <v>24</v>
      </c>
      <c r="V11" s="33">
        <v>0.25</v>
      </c>
      <c r="W11" s="33">
        <v>0.125</v>
      </c>
      <c r="X11" s="34">
        <v>2.4E-2</v>
      </c>
      <c r="Y11" s="17">
        <v>-101</v>
      </c>
      <c r="Z11">
        <v>4.5999999999999999E-2</v>
      </c>
      <c r="AA11">
        <v>2.3E-2</v>
      </c>
      <c r="AB11" s="18">
        <v>1.6E-2</v>
      </c>
    </row>
    <row r="12" spans="1:28" x14ac:dyDescent="0.3">
      <c r="A12" t="s">
        <v>25</v>
      </c>
      <c r="B12" s="1">
        <v>0.20200000000000001</v>
      </c>
      <c r="C12" s="4">
        <v>0</v>
      </c>
      <c r="D12" s="1">
        <f>C12*B12</f>
        <v>0</v>
      </c>
      <c r="E12" s="7" t="e">
        <f>B12*LOOKUP(C12,'Bundle Factors'!$A$2:$A$301,'Bundle Factors'!$C$2:$C$301)</f>
        <v>#N/A</v>
      </c>
      <c r="F12" s="1"/>
      <c r="I12" s="17" t="s">
        <v>21</v>
      </c>
      <c r="J12">
        <v>0.187</v>
      </c>
      <c r="K12">
        <v>9.2999999999999999E-2</v>
      </c>
      <c r="L12" s="18">
        <v>3.5000000000000003E-2</v>
      </c>
      <c r="M12" s="17" t="s">
        <v>26</v>
      </c>
      <c r="N12">
        <v>0.375</v>
      </c>
      <c r="O12">
        <v>0.187</v>
      </c>
      <c r="P12">
        <v>0.04</v>
      </c>
      <c r="Q12" s="45" t="s">
        <v>27</v>
      </c>
      <c r="R12" s="40">
        <v>36</v>
      </c>
      <c r="S12" s="41">
        <v>6.2E-2</v>
      </c>
      <c r="T12" t="s">
        <v>28</v>
      </c>
      <c r="U12" t="s">
        <v>29</v>
      </c>
      <c r="V12" s="33">
        <v>0.438</v>
      </c>
      <c r="W12" s="33">
        <v>0.156</v>
      </c>
      <c r="X12" s="34">
        <v>2.4E-2</v>
      </c>
      <c r="Y12" s="17">
        <v>-102</v>
      </c>
      <c r="Z12">
        <v>6.3E-2</v>
      </c>
      <c r="AA12">
        <v>3.1E-2</v>
      </c>
      <c r="AB12" s="18">
        <v>1.7000000000000001E-2</v>
      </c>
    </row>
    <row r="13" spans="1:28" x14ac:dyDescent="0.3">
      <c r="A13" t="s">
        <v>30</v>
      </c>
      <c r="B13" s="1">
        <v>0.13900000000000001</v>
      </c>
      <c r="C13" s="4">
        <v>0</v>
      </c>
      <c r="D13" s="1">
        <f t="shared" ref="D13:D23" si="0">C13*B13</f>
        <v>0</v>
      </c>
      <c r="E13" s="7" t="e">
        <f>B13*LOOKUP(C13,'Bundle Factors'!$A$2:$A$301,'Bundle Factors'!$C$2:$C$301)</f>
        <v>#N/A</v>
      </c>
      <c r="F13" s="1"/>
      <c r="I13" s="17" t="s">
        <v>26</v>
      </c>
      <c r="J13">
        <v>0.25</v>
      </c>
      <c r="K13">
        <v>0.125</v>
      </c>
      <c r="L13" s="18">
        <v>3.5000000000000003E-2</v>
      </c>
      <c r="M13" s="17" t="s">
        <v>31</v>
      </c>
      <c r="N13">
        <v>0.5</v>
      </c>
      <c r="O13">
        <v>0.25</v>
      </c>
      <c r="P13">
        <v>4.8000000000000001E-2</v>
      </c>
      <c r="Q13" s="45" t="s">
        <v>32</v>
      </c>
      <c r="R13" s="40">
        <v>34</v>
      </c>
      <c r="S13" s="41">
        <v>6.2E-2</v>
      </c>
      <c r="T13" t="s">
        <v>33</v>
      </c>
      <c r="U13" t="s">
        <v>34</v>
      </c>
      <c r="V13" s="33">
        <v>0.75</v>
      </c>
      <c r="W13" s="33">
        <v>0.25</v>
      </c>
      <c r="X13" s="34">
        <v>2.4E-2</v>
      </c>
      <c r="Y13" s="17">
        <v>-103</v>
      </c>
      <c r="Z13">
        <v>9.2999999999999999E-2</v>
      </c>
      <c r="AA13">
        <v>4.5999999999999999E-2</v>
      </c>
      <c r="AB13" s="18">
        <v>0.02</v>
      </c>
    </row>
    <row r="14" spans="1:28" x14ac:dyDescent="0.3">
      <c r="A14" t="s">
        <v>35</v>
      </c>
      <c r="B14" s="1">
        <v>0.111</v>
      </c>
      <c r="C14" s="4">
        <v>0</v>
      </c>
      <c r="D14" s="1">
        <f t="shared" si="0"/>
        <v>0</v>
      </c>
      <c r="E14" s="7" t="e">
        <f>B14*LOOKUP(C14,'Bundle Factors'!$A$2:$A$301,'Bundle Factors'!$C$2:$C$301)</f>
        <v>#N/A</v>
      </c>
      <c r="F14" s="1"/>
      <c r="I14" s="17" t="s">
        <v>31</v>
      </c>
      <c r="J14">
        <v>0.375</v>
      </c>
      <c r="K14">
        <v>0.187</v>
      </c>
      <c r="L14" s="18">
        <v>3.5000000000000003E-2</v>
      </c>
      <c r="M14" s="17" t="s">
        <v>36</v>
      </c>
      <c r="N14">
        <v>0.748</v>
      </c>
      <c r="O14">
        <v>0.375</v>
      </c>
      <c r="P14">
        <v>5.7000000000000002E-2</v>
      </c>
      <c r="Q14" s="45" t="s">
        <v>37</v>
      </c>
      <c r="R14" s="40">
        <v>36</v>
      </c>
      <c r="S14" s="41">
        <v>7.8E-2</v>
      </c>
      <c r="T14" t="s">
        <v>38</v>
      </c>
      <c r="U14" t="s">
        <v>39</v>
      </c>
      <c r="V14" s="33">
        <v>1</v>
      </c>
      <c r="W14" s="33">
        <v>0.625</v>
      </c>
      <c r="X14" s="34">
        <v>2.4E-2</v>
      </c>
      <c r="Y14" s="17">
        <v>-104</v>
      </c>
      <c r="Z14">
        <v>0.125</v>
      </c>
      <c r="AA14">
        <v>6.2E-2</v>
      </c>
      <c r="AB14" s="18">
        <v>0.02</v>
      </c>
    </row>
    <row r="15" spans="1:28" x14ac:dyDescent="0.3">
      <c r="A15" t="s">
        <v>40</v>
      </c>
      <c r="B15" s="1">
        <v>0.09</v>
      </c>
      <c r="C15" s="4">
        <v>0</v>
      </c>
      <c r="D15" s="1">
        <f t="shared" si="0"/>
        <v>0</v>
      </c>
      <c r="E15" s="7" t="e">
        <f>B15*LOOKUP(C15,'Bundle Factors'!$A$2:$A$301,'Bundle Factors'!$C$2:$C$301)</f>
        <v>#N/A</v>
      </c>
      <c r="F15" s="1"/>
      <c r="I15" s="17" t="s">
        <v>36</v>
      </c>
      <c r="J15">
        <v>0.5</v>
      </c>
      <c r="K15">
        <v>0.25</v>
      </c>
      <c r="L15" s="18">
        <v>3.5000000000000003E-2</v>
      </c>
      <c r="M15" s="17" t="s">
        <v>41</v>
      </c>
      <c r="N15">
        <v>1</v>
      </c>
      <c r="O15">
        <v>0.5</v>
      </c>
      <c r="P15">
        <v>7.0000000000000007E-2</v>
      </c>
      <c r="Q15" s="45" t="s">
        <v>42</v>
      </c>
      <c r="R15" s="40">
        <v>36</v>
      </c>
      <c r="S15" s="41">
        <v>0.109</v>
      </c>
      <c r="T15" t="s">
        <v>43</v>
      </c>
      <c r="U15" t="s">
        <v>44</v>
      </c>
      <c r="V15" s="33">
        <v>1.5</v>
      </c>
      <c r="W15" s="33">
        <v>1</v>
      </c>
      <c r="X15" s="34">
        <v>2.4E-2</v>
      </c>
      <c r="Y15" s="17">
        <v>-105</v>
      </c>
      <c r="Z15">
        <v>0.187</v>
      </c>
      <c r="AA15">
        <v>9.2999999999999999E-2</v>
      </c>
      <c r="AB15" s="18">
        <v>2.5000000000000001E-2</v>
      </c>
    </row>
    <row r="16" spans="1:28" ht="15" thickBot="1" x14ac:dyDescent="0.35">
      <c r="A16" t="s">
        <v>45</v>
      </c>
      <c r="B16" s="1">
        <v>7.4999999999999997E-2</v>
      </c>
      <c r="C16" s="4"/>
      <c r="D16" s="1">
        <f t="shared" si="0"/>
        <v>0</v>
      </c>
      <c r="E16" s="7" t="e">
        <f>B16*LOOKUP(C16,'Bundle Factors'!$A$2:$A$301,'Bundle Factors'!$C$2:$C$301)</f>
        <v>#N/A</v>
      </c>
      <c r="I16" s="17" t="s">
        <v>41</v>
      </c>
      <c r="J16">
        <v>0.625</v>
      </c>
      <c r="K16">
        <v>0.312</v>
      </c>
      <c r="L16" s="18">
        <v>4.2000000000000003E-2</v>
      </c>
      <c r="M16" s="29" t="s">
        <v>46</v>
      </c>
      <c r="N16" s="30">
        <v>1.5</v>
      </c>
      <c r="O16" s="30">
        <v>0.75</v>
      </c>
      <c r="P16" s="30">
        <v>9.5000000000000001E-2</v>
      </c>
      <c r="Q16" s="45" t="s">
        <v>47</v>
      </c>
      <c r="R16" s="40">
        <v>36</v>
      </c>
      <c r="S16" s="41">
        <v>0.125</v>
      </c>
      <c r="T16" s="20" t="s">
        <v>48</v>
      </c>
      <c r="U16" s="20" t="s">
        <v>49</v>
      </c>
      <c r="V16" s="35">
        <v>2</v>
      </c>
      <c r="W16" s="35">
        <v>1.25</v>
      </c>
      <c r="X16" s="36">
        <v>2.4E-2</v>
      </c>
      <c r="Y16" s="17">
        <v>-106</v>
      </c>
      <c r="Z16">
        <v>0.25</v>
      </c>
      <c r="AA16">
        <v>0.125</v>
      </c>
      <c r="AB16" s="18">
        <v>2.5000000000000001E-2</v>
      </c>
    </row>
    <row r="17" spans="1:28" x14ac:dyDescent="0.3">
      <c r="A17" t="s">
        <v>50</v>
      </c>
      <c r="B17" s="1">
        <v>6.8000000000000005E-2</v>
      </c>
      <c r="C17" s="4">
        <v>0</v>
      </c>
      <c r="D17" s="1">
        <f t="shared" si="0"/>
        <v>0</v>
      </c>
      <c r="E17" s="7" t="e">
        <f>B17*LOOKUP(C17,'Bundle Factors'!$A$2:$A$301,'Bundle Factors'!$C$2:$C$301)</f>
        <v>#N/A</v>
      </c>
      <c r="I17" s="17" t="s">
        <v>46</v>
      </c>
      <c r="J17">
        <v>0.75</v>
      </c>
      <c r="K17">
        <v>0.375</v>
      </c>
      <c r="L17" s="18">
        <v>4.2000000000000003E-2</v>
      </c>
      <c r="M17" s="17" t="s">
        <v>51</v>
      </c>
      <c r="N17">
        <v>2</v>
      </c>
      <c r="O17">
        <v>1</v>
      </c>
      <c r="P17">
        <v>0.11</v>
      </c>
      <c r="Q17" s="45" t="s">
        <v>52</v>
      </c>
      <c r="R17" s="40">
        <v>34</v>
      </c>
      <c r="S17" s="41">
        <v>0.125</v>
      </c>
      <c r="Y17" s="17">
        <v>-107</v>
      </c>
      <c r="Z17">
        <v>0.375</v>
      </c>
      <c r="AA17">
        <v>0.187</v>
      </c>
      <c r="AB17" s="18">
        <v>2.5000000000000001E-2</v>
      </c>
    </row>
    <row r="18" spans="1:28" x14ac:dyDescent="0.3">
      <c r="A18" t="s">
        <v>53</v>
      </c>
      <c r="B18" s="1">
        <v>5.8000000000000003E-2</v>
      </c>
      <c r="C18" s="4"/>
      <c r="D18" s="1">
        <f t="shared" si="0"/>
        <v>0</v>
      </c>
      <c r="E18" s="7" t="e">
        <f>B18*LOOKUP(C18,'Bundle Factors'!$A$2:$A$301,'Bundle Factors'!$C$2:$C$301)</f>
        <v>#N/A</v>
      </c>
      <c r="I18" s="17" t="s">
        <v>51</v>
      </c>
      <c r="J18">
        <v>0.875</v>
      </c>
      <c r="K18">
        <v>0.437</v>
      </c>
      <c r="L18" s="18">
        <v>4.9000000000000002E-2</v>
      </c>
      <c r="M18" s="17" t="s">
        <v>54</v>
      </c>
      <c r="N18">
        <v>3</v>
      </c>
      <c r="O18">
        <v>1.5</v>
      </c>
      <c r="P18">
        <v>0.125</v>
      </c>
      <c r="Q18" s="45" t="s">
        <v>55</v>
      </c>
      <c r="R18" s="40">
        <v>36</v>
      </c>
      <c r="S18" s="41">
        <v>0.156</v>
      </c>
      <c r="Y18" s="17">
        <v>-108</v>
      </c>
      <c r="Z18">
        <v>0.5</v>
      </c>
      <c r="AA18">
        <v>0.25</v>
      </c>
      <c r="AB18" s="18">
        <v>0.03</v>
      </c>
    </row>
    <row r="19" spans="1:28" ht="15" thickBot="1" x14ac:dyDescent="0.35">
      <c r="A19" t="s">
        <v>56</v>
      </c>
      <c r="B19" s="1">
        <v>4.9000000000000002E-2</v>
      </c>
      <c r="C19" s="4">
        <v>0</v>
      </c>
      <c r="D19" s="1">
        <f t="shared" si="0"/>
        <v>0</v>
      </c>
      <c r="E19" s="7" t="e">
        <f>B19*LOOKUP(C19,'Bundle Factors'!$A$2:$A$301,'Bundle Factors'!$C$2:$C$301)</f>
        <v>#N/A</v>
      </c>
      <c r="I19" s="17" t="s">
        <v>54</v>
      </c>
      <c r="J19">
        <v>1</v>
      </c>
      <c r="K19">
        <v>0.5</v>
      </c>
      <c r="L19" s="18">
        <v>4.9000000000000002E-2</v>
      </c>
      <c r="M19" s="19" t="s">
        <v>57</v>
      </c>
      <c r="N19" s="20">
        <v>4</v>
      </c>
      <c r="O19" s="20">
        <v>2</v>
      </c>
      <c r="P19" s="20">
        <v>0.14000000000000001</v>
      </c>
      <c r="Q19" s="45" t="s">
        <v>58</v>
      </c>
      <c r="R19" s="40">
        <v>36</v>
      </c>
      <c r="S19" s="41">
        <v>0.17100000000000001</v>
      </c>
      <c r="Y19" s="17">
        <v>-109</v>
      </c>
      <c r="Z19">
        <v>0.75</v>
      </c>
      <c r="AA19">
        <v>0.375</v>
      </c>
      <c r="AB19" s="18">
        <v>3.5000000000000003E-2</v>
      </c>
    </row>
    <row r="20" spans="1:28" x14ac:dyDescent="0.3">
      <c r="A20" t="s">
        <v>59</v>
      </c>
      <c r="B20" s="1">
        <v>4.2999999999999997E-2</v>
      </c>
      <c r="C20" s="4"/>
      <c r="D20" s="1">
        <f t="shared" si="0"/>
        <v>0</v>
      </c>
      <c r="E20" s="7" t="e">
        <f>B20*LOOKUP(C20,'Bundle Factors'!$A$2:$A$301,'Bundle Factors'!$C$2:$C$301)</f>
        <v>#N/A</v>
      </c>
      <c r="I20" s="17" t="s">
        <v>57</v>
      </c>
      <c r="J20">
        <v>1.25</v>
      </c>
      <c r="K20">
        <v>0.625</v>
      </c>
      <c r="L20" s="18">
        <v>5.5E-2</v>
      </c>
      <c r="Q20" s="45" t="s">
        <v>60</v>
      </c>
      <c r="R20" s="40">
        <v>34</v>
      </c>
      <c r="S20" s="41">
        <v>0.17100000000000001</v>
      </c>
      <c r="Y20" s="17">
        <v>-110</v>
      </c>
      <c r="Z20">
        <v>1</v>
      </c>
      <c r="AA20">
        <v>0.5</v>
      </c>
      <c r="AB20" s="18">
        <v>0.04</v>
      </c>
    </row>
    <row r="21" spans="1:28" x14ac:dyDescent="0.3">
      <c r="A21" t="s">
        <v>61</v>
      </c>
      <c r="B21" s="1">
        <v>3.7999999999999999E-2</v>
      </c>
      <c r="C21" s="4"/>
      <c r="D21" s="1">
        <f t="shared" si="0"/>
        <v>0</v>
      </c>
      <c r="E21" s="7" t="e">
        <f>B21*LOOKUP(C21,'Bundle Factors'!$A$2:$A$301,'Bundle Factors'!$C$2:$C$301)</f>
        <v>#N/A</v>
      </c>
      <c r="I21" s="29" t="s">
        <v>62</v>
      </c>
      <c r="J21" s="30">
        <v>1.5</v>
      </c>
      <c r="K21" s="30">
        <v>0.75</v>
      </c>
      <c r="L21" s="31">
        <v>5.5E-2</v>
      </c>
      <c r="Q21" s="45" t="s">
        <v>63</v>
      </c>
      <c r="R21" s="40">
        <v>36</v>
      </c>
      <c r="S21" s="41">
        <v>0.20300000000000001</v>
      </c>
      <c r="Y21" s="29">
        <v>-111</v>
      </c>
      <c r="Z21" s="30">
        <v>1.5</v>
      </c>
      <c r="AA21" s="30">
        <v>0.75</v>
      </c>
      <c r="AB21" s="31">
        <v>4.4999999999999998E-2</v>
      </c>
    </row>
    <row r="22" spans="1:28" ht="15" thickBot="1" x14ac:dyDescent="0.35">
      <c r="A22" t="s">
        <v>64</v>
      </c>
      <c r="B22" s="1">
        <v>3.3000000000000002E-2</v>
      </c>
      <c r="C22" s="4"/>
      <c r="D22" s="1">
        <f t="shared" si="0"/>
        <v>0</v>
      </c>
      <c r="E22" s="7" t="e">
        <f>B22*LOOKUP(C22,'Bundle Factors'!$A$2:$A$301,'Bundle Factors'!$C$2:$C$301)</f>
        <v>#N/A</v>
      </c>
      <c r="I22" s="19" t="s">
        <v>65</v>
      </c>
      <c r="J22" s="20">
        <v>2</v>
      </c>
      <c r="K22" s="20">
        <v>1</v>
      </c>
      <c r="L22" s="21">
        <v>6.2E-2</v>
      </c>
      <c r="Q22" s="45" t="s">
        <v>66</v>
      </c>
      <c r="R22" s="40">
        <v>34</v>
      </c>
      <c r="S22" s="41">
        <v>0.20300000000000001</v>
      </c>
      <c r="Y22" s="17">
        <v>-112</v>
      </c>
      <c r="Z22">
        <v>2</v>
      </c>
      <c r="AA22">
        <v>1</v>
      </c>
      <c r="AB22" s="18">
        <v>0.05</v>
      </c>
    </row>
    <row r="23" spans="1:28" ht="28.8" x14ac:dyDescent="0.3">
      <c r="A23" s="24" t="s">
        <v>67</v>
      </c>
      <c r="B23" s="1"/>
      <c r="C23" s="4"/>
      <c r="D23" s="1">
        <f t="shared" si="0"/>
        <v>0</v>
      </c>
      <c r="E23" s="7" t="e">
        <f>B23*LOOKUP(C23,'Bundle Factors'!$A$2:$A$301,'Bundle Factors'!$C$2:$C$301)</f>
        <v>#N/A</v>
      </c>
      <c r="Q23" s="45" t="s">
        <v>68</v>
      </c>
      <c r="R23" s="40">
        <v>36</v>
      </c>
      <c r="S23" s="41">
        <v>0.25</v>
      </c>
      <c r="Y23" s="17">
        <v>-113</v>
      </c>
      <c r="Z23">
        <v>3</v>
      </c>
      <c r="AA23">
        <v>1.5</v>
      </c>
      <c r="AB23" s="18">
        <v>5.5E-2</v>
      </c>
    </row>
    <row r="24" spans="1:28" x14ac:dyDescent="0.3">
      <c r="A24" s="1" t="s">
        <v>69</v>
      </c>
      <c r="B24" s="8"/>
      <c r="C24" s="9"/>
      <c r="D24" s="8"/>
      <c r="E24" s="10"/>
      <c r="Q24" s="45" t="s">
        <v>70</v>
      </c>
      <c r="R24" s="40">
        <v>30</v>
      </c>
      <c r="S24" s="41">
        <v>0.28100000000000003</v>
      </c>
      <c r="Y24" s="17">
        <v>-114</v>
      </c>
      <c r="Z24">
        <v>4</v>
      </c>
      <c r="AA24">
        <v>2</v>
      </c>
      <c r="AB24" s="18">
        <v>4.4999999999999998E-2</v>
      </c>
    </row>
    <row r="25" spans="1:28" x14ac:dyDescent="0.3">
      <c r="A25" s="25" t="s">
        <v>71</v>
      </c>
      <c r="B25" s="1">
        <v>0.5</v>
      </c>
      <c r="C25" s="4"/>
      <c r="D25" s="1">
        <f t="shared" ref="D25:D40" si="1">C25*B25</f>
        <v>0</v>
      </c>
      <c r="E25" s="7" t="e">
        <f>B25*LOOKUP(C25,'Bundle Factors'!$A$2:$A$301,'Bundle Factors'!$C$2:$C$301)</f>
        <v>#N/A</v>
      </c>
      <c r="Q25" s="45" t="s">
        <v>72</v>
      </c>
      <c r="R25" s="40">
        <v>36</v>
      </c>
      <c r="S25" s="41">
        <v>0.375</v>
      </c>
      <c r="Y25" s="22" t="s">
        <v>73</v>
      </c>
      <c r="AB25" s="18"/>
    </row>
    <row r="26" spans="1:28" x14ac:dyDescent="0.3">
      <c r="A26" s="25" t="s">
        <v>74</v>
      </c>
      <c r="B26" s="1">
        <v>0.34799999999999998</v>
      </c>
      <c r="C26" s="4"/>
      <c r="D26" s="1">
        <f t="shared" si="1"/>
        <v>0</v>
      </c>
      <c r="E26" s="7" t="e">
        <f>B26*LOOKUP(C26,'Bundle Factors'!$A$2:$A$301,'Bundle Factors'!$C$2:$C$301)</f>
        <v>#N/A</v>
      </c>
      <c r="Q26" s="45" t="s">
        <v>75</v>
      </c>
      <c r="R26" s="40">
        <v>34</v>
      </c>
      <c r="S26" s="41">
        <v>0.375</v>
      </c>
      <c r="Y26" s="17">
        <v>-115</v>
      </c>
      <c r="Z26">
        <v>1</v>
      </c>
      <c r="AA26">
        <v>0.27500000000000002</v>
      </c>
      <c r="AB26" s="18">
        <v>4.4999999999999998E-2</v>
      </c>
    </row>
    <row r="27" spans="1:28" x14ac:dyDescent="0.3">
      <c r="A27" s="25" t="s">
        <v>76</v>
      </c>
      <c r="B27" s="1">
        <v>0.28599999999999998</v>
      </c>
      <c r="C27" s="4"/>
      <c r="D27" s="1">
        <f t="shared" si="1"/>
        <v>0</v>
      </c>
      <c r="E27" s="7" t="e">
        <f>B27*LOOKUP(C27,'Bundle Factors'!$A$2:$A$301,'Bundle Factors'!$C$2:$C$301)</f>
        <v>#N/A</v>
      </c>
      <c r="Q27" s="45" t="s">
        <v>77</v>
      </c>
      <c r="R27" s="40">
        <v>32</v>
      </c>
      <c r="S27" s="41">
        <v>0.375</v>
      </c>
      <c r="Y27" s="17">
        <v>-116</v>
      </c>
      <c r="Z27">
        <v>2</v>
      </c>
      <c r="AA27">
        <v>0.55000000000000004</v>
      </c>
      <c r="AB27" s="18">
        <v>4.4999999999999998E-2</v>
      </c>
    </row>
    <row r="28" spans="1:28" x14ac:dyDescent="0.3">
      <c r="A28" s="25" t="s">
        <v>78</v>
      </c>
      <c r="B28" s="1">
        <v>0.24199999999999999</v>
      </c>
      <c r="C28" s="4"/>
      <c r="D28" s="1">
        <f t="shared" si="1"/>
        <v>0</v>
      </c>
      <c r="E28" s="7" t="e">
        <f>B28*LOOKUP(C28,'Bundle Factors'!$A$2:$A$301,'Bundle Factors'!$C$2:$C$301)</f>
        <v>#N/A</v>
      </c>
      <c r="Q28" s="45" t="s">
        <v>79</v>
      </c>
      <c r="R28" s="40">
        <v>30</v>
      </c>
      <c r="S28" s="41">
        <v>0.437</v>
      </c>
      <c r="Y28" s="17">
        <v>-117</v>
      </c>
      <c r="Z28">
        <v>3</v>
      </c>
      <c r="AA28">
        <v>0.81</v>
      </c>
      <c r="AB28" s="18">
        <v>4.4999999999999998E-2</v>
      </c>
    </row>
    <row r="29" spans="1:28" x14ac:dyDescent="0.3">
      <c r="A29" s="26" t="s">
        <v>80</v>
      </c>
      <c r="B29" s="1">
        <v>0.221</v>
      </c>
      <c r="C29" s="4"/>
      <c r="D29" s="1">
        <f>C29*B29</f>
        <v>0</v>
      </c>
      <c r="E29" s="7" t="e">
        <f>B29*LOOKUP(C29,'Bundle Factors'!$A$2:$A$301,'Bundle Factors'!$C$2:$C$301)</f>
        <v>#N/A</v>
      </c>
      <c r="Q29" s="45" t="s">
        <v>81</v>
      </c>
      <c r="R29" s="40">
        <v>36</v>
      </c>
      <c r="S29" s="41">
        <v>0.5</v>
      </c>
      <c r="Y29" s="17">
        <v>-118</v>
      </c>
      <c r="Z29">
        <v>4</v>
      </c>
      <c r="AA29">
        <v>1.05</v>
      </c>
      <c r="AB29" s="18">
        <v>4.4999999999999998E-2</v>
      </c>
    </row>
    <row r="30" spans="1:28" x14ac:dyDescent="0.3">
      <c r="A30" s="27" t="s">
        <v>82</v>
      </c>
      <c r="B30" s="1">
        <f>AVERAGE(B29,B31)</f>
        <v>0.2165</v>
      </c>
      <c r="C30" s="4"/>
      <c r="D30" s="1">
        <f>C30*B30</f>
        <v>0</v>
      </c>
      <c r="E30" s="7" t="e">
        <f>B30*LOOKUP(C30,'Bundle Factors'!$A$2:$A$301,'Bundle Factors'!$C$2:$C$301)</f>
        <v>#N/A</v>
      </c>
      <c r="Q30" s="45" t="s">
        <v>83</v>
      </c>
      <c r="R30" s="40">
        <v>34</v>
      </c>
      <c r="S30" s="41">
        <v>0.5</v>
      </c>
      <c r="Y30" s="17">
        <v>-119</v>
      </c>
      <c r="Z30">
        <v>1</v>
      </c>
      <c r="AA30">
        <v>0.46200000000000002</v>
      </c>
      <c r="AB30" s="18">
        <v>4.4999999999999998E-2</v>
      </c>
    </row>
    <row r="31" spans="1:28" x14ac:dyDescent="0.3">
      <c r="A31" s="28" t="s">
        <v>84</v>
      </c>
      <c r="B31" s="1">
        <v>0.21199999999999999</v>
      </c>
      <c r="C31" s="4"/>
      <c r="D31" s="1">
        <f t="shared" si="1"/>
        <v>0</v>
      </c>
      <c r="E31" s="7" t="e">
        <f>B31*LOOKUP(C31,'Bundle Factors'!$A$2:$A$301,'Bundle Factors'!$C$2:$C$301)</f>
        <v>#N/A</v>
      </c>
      <c r="Q31" s="45" t="s">
        <v>85</v>
      </c>
      <c r="R31" s="40">
        <v>30</v>
      </c>
      <c r="S31" s="41">
        <v>0.5</v>
      </c>
      <c r="Y31" s="17">
        <v>-120</v>
      </c>
      <c r="Z31">
        <v>2.375</v>
      </c>
      <c r="AA31">
        <v>0.68</v>
      </c>
      <c r="AB31" s="18">
        <v>4.4999999999999998E-2</v>
      </c>
    </row>
    <row r="32" spans="1:28" x14ac:dyDescent="0.3">
      <c r="A32" s="25" t="s">
        <v>86</v>
      </c>
      <c r="B32" s="1">
        <v>0.19800000000000001</v>
      </c>
      <c r="C32" s="4"/>
      <c r="D32" s="1">
        <f t="shared" si="1"/>
        <v>0</v>
      </c>
      <c r="E32" s="7" t="e">
        <f>B32*LOOKUP(C32,'Bundle Factors'!$A$2:$A$301,'Bundle Factors'!$C$2:$C$301)</f>
        <v>#N/A</v>
      </c>
      <c r="Q32" s="45" t="s">
        <v>87</v>
      </c>
      <c r="R32" s="40">
        <v>30</v>
      </c>
      <c r="S32" s="41">
        <v>0.56200000000000006</v>
      </c>
      <c r="U32" s="33"/>
      <c r="V32" s="33"/>
      <c r="W32" s="33"/>
      <c r="Y32" s="17">
        <v>-121</v>
      </c>
      <c r="Z32">
        <v>3</v>
      </c>
      <c r="AA32">
        <v>0.84</v>
      </c>
      <c r="AB32" s="18">
        <v>4.4999999999999998E-2</v>
      </c>
    </row>
    <row r="33" spans="1:28" x14ac:dyDescent="0.3">
      <c r="A33" s="25" t="s">
        <v>88</v>
      </c>
      <c r="B33" s="1">
        <v>0.17799999999999999</v>
      </c>
      <c r="C33" s="4"/>
      <c r="D33" s="1">
        <f t="shared" si="1"/>
        <v>0</v>
      </c>
      <c r="E33" s="7" t="e">
        <f>B33*LOOKUP(C33,'Bundle Factors'!$A$2:$A$301,'Bundle Factors'!$C$2:$C$301)</f>
        <v>#N/A</v>
      </c>
      <c r="Q33" s="45" t="s">
        <v>89</v>
      </c>
      <c r="R33" s="40">
        <v>30</v>
      </c>
      <c r="S33" s="41">
        <v>0.65600000000000003</v>
      </c>
      <c r="Y33" s="17">
        <v>-122</v>
      </c>
      <c r="Z33">
        <v>3.75</v>
      </c>
      <c r="AA33">
        <v>0.93</v>
      </c>
      <c r="AB33" s="18">
        <v>4.4999999999999998E-2</v>
      </c>
    </row>
    <row r="34" spans="1:28" ht="15" thickBot="1" x14ac:dyDescent="0.35">
      <c r="A34" s="25" t="s">
        <v>90</v>
      </c>
      <c r="B34" s="1">
        <v>0.18099999999999999</v>
      </c>
      <c r="C34" s="4"/>
      <c r="D34" s="1"/>
      <c r="E34" s="7"/>
      <c r="Q34" s="45" t="s">
        <v>91</v>
      </c>
      <c r="R34" s="40">
        <v>36</v>
      </c>
      <c r="S34" s="41">
        <v>0.78100000000000003</v>
      </c>
      <c r="Y34" s="19">
        <v>-123</v>
      </c>
      <c r="Z34" s="20">
        <v>4.5</v>
      </c>
      <c r="AA34" s="20">
        <v>1.45</v>
      </c>
      <c r="AB34" s="21">
        <v>4.4999999999999998E-2</v>
      </c>
    </row>
    <row r="35" spans="1:28" x14ac:dyDescent="0.3">
      <c r="A35" s="25" t="s">
        <v>92</v>
      </c>
      <c r="B35" s="1">
        <v>0.16</v>
      </c>
      <c r="C35" s="4"/>
      <c r="D35" s="1">
        <f t="shared" si="1"/>
        <v>0</v>
      </c>
      <c r="E35" s="7" t="e">
        <f>B35*LOOKUP(C35,'Bundle Factors'!$A$2:$A$301,'Bundle Factors'!$C$2:$C$301)</f>
        <v>#N/A</v>
      </c>
      <c r="Q35" s="45" t="s">
        <v>93</v>
      </c>
      <c r="R35" s="40">
        <v>34</v>
      </c>
      <c r="S35" s="41">
        <v>0.78100000000000003</v>
      </c>
    </row>
    <row r="36" spans="1:28" x14ac:dyDescent="0.3">
      <c r="A36" s="25" t="s">
        <v>94</v>
      </c>
      <c r="B36" s="1">
        <v>0.14799999999999999</v>
      </c>
      <c r="C36" s="4"/>
      <c r="D36" s="1">
        <f t="shared" si="1"/>
        <v>0</v>
      </c>
      <c r="E36" s="7" t="e">
        <f>B36*LOOKUP(C36,'Bundle Factors'!$A$2:$A$301,'Bundle Factors'!$C$2:$C$301)</f>
        <v>#N/A</v>
      </c>
      <c r="Q36" s="45" t="s">
        <v>95</v>
      </c>
      <c r="R36" s="40">
        <v>32</v>
      </c>
      <c r="S36" s="41">
        <v>0.78100000000000003</v>
      </c>
    </row>
    <row r="37" spans="1:28" x14ac:dyDescent="0.3">
      <c r="A37" s="25" t="s">
        <v>96</v>
      </c>
      <c r="B37" s="1">
        <v>0.13800000000000001</v>
      </c>
      <c r="C37" s="4"/>
      <c r="D37" s="1">
        <f t="shared" si="1"/>
        <v>0</v>
      </c>
      <c r="E37" s="7" t="e">
        <f>B37*LOOKUP(C37,'Bundle Factors'!$A$2:$A$301,'Bundle Factors'!$C$2:$C$301)</f>
        <v>#N/A</v>
      </c>
      <c r="Q37" s="45" t="s">
        <v>97</v>
      </c>
      <c r="R37" s="40">
        <v>30</v>
      </c>
      <c r="S37" s="41">
        <v>0.875</v>
      </c>
    </row>
    <row r="38" spans="1:28" x14ac:dyDescent="0.3">
      <c r="A38" s="25" t="s">
        <v>98</v>
      </c>
      <c r="B38" s="1">
        <v>0.128</v>
      </c>
      <c r="C38" s="4"/>
      <c r="D38" s="1">
        <f t="shared" si="1"/>
        <v>0</v>
      </c>
      <c r="E38" s="7" t="e">
        <f>B38*LOOKUP(C38,'Bundle Factors'!$A$2:$A$301,'Bundle Factors'!$C$2:$C$301)</f>
        <v>#N/A</v>
      </c>
      <c r="Q38" s="45" t="s">
        <v>99</v>
      </c>
      <c r="R38" s="40">
        <v>30</v>
      </c>
      <c r="S38" s="41">
        <v>1</v>
      </c>
    </row>
    <row r="39" spans="1:28" x14ac:dyDescent="0.3">
      <c r="A39" s="25" t="s">
        <v>100</v>
      </c>
      <c r="B39" s="1">
        <v>0.129</v>
      </c>
      <c r="C39" s="4"/>
      <c r="D39" s="1">
        <f t="shared" si="1"/>
        <v>0</v>
      </c>
      <c r="E39" s="7"/>
      <c r="Q39" s="45" t="s">
        <v>101</v>
      </c>
      <c r="R39" s="40">
        <v>30</v>
      </c>
      <c r="S39" s="41">
        <v>1.125</v>
      </c>
    </row>
    <row r="40" spans="1:28" x14ac:dyDescent="0.3">
      <c r="A40" s="25" t="s">
        <v>102</v>
      </c>
      <c r="B40" s="1">
        <v>0.16500000000000001</v>
      </c>
      <c r="C40" s="4">
        <v>0</v>
      </c>
      <c r="D40" s="1">
        <f t="shared" si="1"/>
        <v>0</v>
      </c>
      <c r="E40" s="7" t="e">
        <f>B40*LOOKUP(C40,'Bundle Factors'!$A$2:$A$301,'Bundle Factors'!$C$2:$C$301)</f>
        <v>#N/A</v>
      </c>
      <c r="Q40" s="45" t="s">
        <v>103</v>
      </c>
      <c r="R40" s="40">
        <v>30</v>
      </c>
      <c r="S40" s="41">
        <v>1.375</v>
      </c>
    </row>
    <row r="41" spans="1:28" ht="15" thickBot="1" x14ac:dyDescent="0.35">
      <c r="A41" s="51" t="s">
        <v>104</v>
      </c>
      <c r="B41" s="1">
        <v>9.8000000000000004E-2</v>
      </c>
      <c r="C41" s="4"/>
      <c r="D41" s="1">
        <f>C41*B41</f>
        <v>0</v>
      </c>
      <c r="E41" s="7" t="e">
        <f>B41*LOOKUP(C41,'Bundle Factors'!$A$2:$A$301,'Bundle Factors'!$C$2:$C$301)</f>
        <v>#N/A</v>
      </c>
      <c r="Q41" s="45" t="s">
        <v>105</v>
      </c>
      <c r="R41" s="40">
        <v>30</v>
      </c>
      <c r="S41" s="41">
        <v>1.5</v>
      </c>
    </row>
    <row r="42" spans="1:28" ht="58.2" thickBot="1" x14ac:dyDescent="0.35">
      <c r="L42" s="6" t="s">
        <v>106</v>
      </c>
      <c r="Q42" s="46" t="s">
        <v>107</v>
      </c>
      <c r="R42" s="42">
        <v>30</v>
      </c>
      <c r="S42" s="43">
        <v>2</v>
      </c>
    </row>
    <row r="43" spans="1:28" ht="21.6" thickBot="1" x14ac:dyDescent="0.45">
      <c r="L43" s="23" t="e">
        <f>E45</f>
        <v>#DIV/0!</v>
      </c>
    </row>
    <row r="44" spans="1:28" ht="43.2" x14ac:dyDescent="0.3">
      <c r="E44" s="6" t="s">
        <v>108</v>
      </c>
    </row>
    <row r="45" spans="1:28" ht="21.6" thickBot="1" x14ac:dyDescent="0.45">
      <c r="E45" s="23" t="e">
        <f>SUM(D12:D41)/SUM(C12:C41)*LOOKUP(SUM(C12:C41),'Bundle Factors'!$A$2:$A$301,'Bundle Factors'!$C$2:$C$301)</f>
        <v>#DIV/0!</v>
      </c>
    </row>
  </sheetData>
  <mergeCells count="3">
    <mergeCell ref="A8:E9"/>
    <mergeCell ref="I8:P9"/>
    <mergeCell ref="Q8:S9"/>
  </mergeCells>
  <phoneticPr fontId="8" type="noConversion"/>
  <conditionalFormatting sqref="S11:S42">
    <cfRule type="expression" dxfId="4" priority="1">
      <formula>$L$43=MIN(ABS($S$11:$S$42))</formula>
    </cfRule>
  </conditionalFormatting>
  <conditionalFormatting sqref="V11:V16 N11:N19 J11:J22">
    <cfRule type="cellIs" dxfId="3" priority="10" operator="greaterThanOrEqual">
      <formula>$E$45</formula>
    </cfRule>
  </conditionalFormatting>
  <conditionalFormatting sqref="W11:W16 O11:O19 K11:K22">
    <cfRule type="cellIs" dxfId="2" priority="9" operator="lessThanOrEqual">
      <formula>$E$45</formula>
    </cfRule>
  </conditionalFormatting>
  <conditionalFormatting sqref="Z11:Z34">
    <cfRule type="cellIs" dxfId="1" priority="3" operator="greaterThan">
      <formula>$L$43</formula>
    </cfRule>
  </conditionalFormatting>
  <conditionalFormatting sqref="AA11:AA34">
    <cfRule type="cellIs" dxfId="0" priority="2" operator="lessThan">
      <formula>$L$43</formula>
    </cfRule>
  </conditionalFormatting>
  <pageMargins left="0.7" right="0.7" top="0.75" bottom="0.75" header="0.3" footer="0.3"/>
  <pageSetup orientation="portrait" r:id="rId1"/>
  <headerFooter>
    <oddHeader>&amp;C&amp;"Arial Black"&amp;12&amp;K000000CUI - Leidos Proprietary&amp;1#</oddHeader>
    <oddFooter>&amp;C&amp;1#&amp;"Arial"&amp;8&amp;K000000The information in this document is proprietary to Leidos. It may not be used, reproduced, disclosed, or exported without the written approval of Leidos.</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1662-9CE4-449D-AE3D-35097B890E99}">
  <dimension ref="A1:H8"/>
  <sheetViews>
    <sheetView topLeftCell="B1" workbookViewId="0">
      <selection activeCell="D5" sqref="D5"/>
    </sheetView>
  </sheetViews>
  <sheetFormatPr defaultRowHeight="14.4" x14ac:dyDescent="0.3"/>
  <cols>
    <col min="1" max="2" width="20.6640625" customWidth="1"/>
    <col min="4" max="4" width="13.88671875" customWidth="1"/>
    <col min="5" max="5" width="18.6640625" bestFit="1" customWidth="1"/>
    <col min="6" max="6" width="19.44140625" customWidth="1"/>
    <col min="7" max="7" width="29" customWidth="1"/>
    <col min="8" max="8" width="29.6640625" customWidth="1"/>
  </cols>
  <sheetData>
    <row r="1" spans="1:8" x14ac:dyDescent="0.3">
      <c r="A1" s="37"/>
      <c r="B1" s="37"/>
    </row>
    <row r="2" spans="1:8" ht="28.8" x14ac:dyDescent="0.3">
      <c r="A2" s="50" t="s">
        <v>109</v>
      </c>
      <c r="B2" s="50"/>
      <c r="C2" s="50" t="s">
        <v>110</v>
      </c>
      <c r="D2" s="50" t="s">
        <v>111</v>
      </c>
      <c r="E2" s="50" t="s">
        <v>112</v>
      </c>
      <c r="F2" s="50" t="s">
        <v>113</v>
      </c>
      <c r="G2" s="50" t="s">
        <v>114</v>
      </c>
      <c r="H2" s="50" t="s">
        <v>114</v>
      </c>
    </row>
    <row r="3" spans="1:8" s="52" customFormat="1" ht="28.8" x14ac:dyDescent="0.3">
      <c r="A3" s="40">
        <v>30</v>
      </c>
      <c r="B3" s="50" t="s">
        <v>115</v>
      </c>
      <c r="C3" s="52" t="s">
        <v>116</v>
      </c>
      <c r="D3" s="52">
        <v>6</v>
      </c>
      <c r="E3" s="52">
        <f>A3+6+(A3*0.03)</f>
        <v>36.9</v>
      </c>
      <c r="F3" s="52">
        <f t="shared" ref="F3:F5" si="0">(D3*E3)</f>
        <v>221.39999999999998</v>
      </c>
      <c r="G3" s="52">
        <f>_xlfn.CEILING.MATH((F3)/12,0.5,0.5)</f>
        <v>18.5</v>
      </c>
    </row>
    <row r="4" spans="1:8" x14ac:dyDescent="0.3">
      <c r="A4" s="37">
        <v>16</v>
      </c>
      <c r="B4" s="37" t="s">
        <v>117</v>
      </c>
      <c r="C4" t="s">
        <v>118</v>
      </c>
      <c r="D4">
        <v>2</v>
      </c>
      <c r="E4">
        <f>A4+6+(A4*0.03)</f>
        <v>22.48</v>
      </c>
      <c r="F4">
        <f t="shared" si="0"/>
        <v>44.96</v>
      </c>
      <c r="G4">
        <f>_xlfn.CEILING.MATH((F4)/12,0.5,0.5)</f>
        <v>4</v>
      </c>
    </row>
    <row r="5" spans="1:8" x14ac:dyDescent="0.3">
      <c r="A5" s="37">
        <v>21</v>
      </c>
      <c r="B5" s="37">
        <f>A5+(A5*0.03)</f>
        <v>21.63</v>
      </c>
      <c r="C5" t="s">
        <v>119</v>
      </c>
      <c r="D5">
        <v>5</v>
      </c>
      <c r="E5">
        <f>A5+6+(A5*0.03)</f>
        <v>27.63</v>
      </c>
      <c r="F5">
        <f t="shared" si="0"/>
        <v>138.15</v>
      </c>
      <c r="G5">
        <f t="shared" ref="G5" si="1">_xlfn.CEILING.MATH((F5)/12,0.5,0.5)</f>
        <v>12</v>
      </c>
      <c r="H5">
        <v>1</v>
      </c>
    </row>
    <row r="6" spans="1:8" x14ac:dyDescent="0.3">
      <c r="A6" s="37"/>
      <c r="B6" s="37"/>
    </row>
    <row r="7" spans="1:8" x14ac:dyDescent="0.3">
      <c r="A7" s="37"/>
      <c r="B7" s="37"/>
      <c r="G7">
        <f>SUM(G3:G5)</f>
        <v>34.5</v>
      </c>
    </row>
    <row r="8" spans="1:8" x14ac:dyDescent="0.3">
      <c r="A8" s="37"/>
      <c r="B8" s="37"/>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1"/>
  <sheetViews>
    <sheetView topLeftCell="A145" zoomScale="115" zoomScaleNormal="115" workbookViewId="0">
      <selection activeCell="F28" sqref="F28"/>
    </sheetView>
  </sheetViews>
  <sheetFormatPr defaultRowHeight="14.4" x14ac:dyDescent="0.3"/>
  <cols>
    <col min="1" max="1" width="16.33203125" bestFit="1" customWidth="1"/>
    <col min="2" max="2" width="13.5546875" bestFit="1" customWidth="1"/>
    <col min="3" max="3" width="14.88671875" style="5" bestFit="1" customWidth="1"/>
  </cols>
  <sheetData>
    <row r="1" spans="1:3" x14ac:dyDescent="0.3">
      <c r="A1" t="s">
        <v>120</v>
      </c>
      <c r="B1" t="s">
        <v>121</v>
      </c>
      <c r="C1" s="5" t="s">
        <v>122</v>
      </c>
    </row>
    <row r="2" spans="1:3" x14ac:dyDescent="0.3">
      <c r="A2">
        <v>1</v>
      </c>
      <c r="B2">
        <v>1</v>
      </c>
      <c r="C2" s="5">
        <v>1</v>
      </c>
    </row>
    <row r="3" spans="1:3" x14ac:dyDescent="0.3">
      <c r="A3">
        <v>2</v>
      </c>
      <c r="B3">
        <v>2</v>
      </c>
      <c r="C3" s="5">
        <f t="shared" ref="C3:C66" si="0">1.2038*POWER(A3,0.5033)</f>
        <v>1.7063288581387981</v>
      </c>
    </row>
    <row r="4" spans="1:3" x14ac:dyDescent="0.3">
      <c r="A4">
        <v>3</v>
      </c>
      <c r="B4">
        <v>2.2000000000000002</v>
      </c>
      <c r="C4" s="5">
        <f t="shared" si="0"/>
        <v>2.0926156381699417</v>
      </c>
    </row>
    <row r="5" spans="1:3" x14ac:dyDescent="0.3">
      <c r="A5">
        <v>4</v>
      </c>
      <c r="B5">
        <v>2.4</v>
      </c>
      <c r="C5" s="5">
        <f t="shared" si="0"/>
        <v>2.4186394518335725</v>
      </c>
    </row>
    <row r="6" spans="1:3" x14ac:dyDescent="0.3">
      <c r="A6">
        <v>5</v>
      </c>
      <c r="B6">
        <v>2.7</v>
      </c>
      <c r="C6" s="5">
        <f t="shared" si="0"/>
        <v>2.7061130907331306</v>
      </c>
    </row>
    <row r="7" spans="1:3" x14ac:dyDescent="0.3">
      <c r="A7">
        <v>6</v>
      </c>
      <c r="B7">
        <v>2.9</v>
      </c>
      <c r="C7" s="5">
        <f t="shared" si="0"/>
        <v>2.9661824658597014</v>
      </c>
    </row>
    <row r="8" spans="1:3" x14ac:dyDescent="0.3">
      <c r="A8">
        <v>7</v>
      </c>
      <c r="B8">
        <v>3</v>
      </c>
      <c r="C8" s="5">
        <f t="shared" si="0"/>
        <v>3.2054734383943035</v>
      </c>
    </row>
    <row r="9" spans="1:3" x14ac:dyDescent="0.3">
      <c r="A9">
        <v>8</v>
      </c>
      <c r="B9">
        <v>3.3</v>
      </c>
      <c r="C9" s="5">
        <f t="shared" si="0"/>
        <v>3.4283056106468082</v>
      </c>
    </row>
    <row r="10" spans="1:3" x14ac:dyDescent="0.3">
      <c r="A10">
        <v>9</v>
      </c>
      <c r="B10">
        <v>3.8</v>
      </c>
      <c r="C10" s="5">
        <f t="shared" si="0"/>
        <v>3.6376808515645402</v>
      </c>
    </row>
    <row r="11" spans="1:3" x14ac:dyDescent="0.3">
      <c r="A11">
        <v>10</v>
      </c>
      <c r="B11">
        <v>4</v>
      </c>
      <c r="C11" s="5">
        <f t="shared" si="0"/>
        <v>3.8357857286136539</v>
      </c>
    </row>
    <row r="12" spans="1:3" x14ac:dyDescent="0.3">
      <c r="A12">
        <v>11</v>
      </c>
      <c r="C12" s="5">
        <f t="shared" si="0"/>
        <v>4.024271541170708</v>
      </c>
    </row>
    <row r="13" spans="1:3" x14ac:dyDescent="0.3">
      <c r="A13">
        <v>12</v>
      </c>
      <c r="B13">
        <v>4.3</v>
      </c>
      <c r="C13" s="5">
        <f t="shared" si="0"/>
        <v>4.2044216148876137</v>
      </c>
    </row>
    <row r="14" spans="1:3" x14ac:dyDescent="0.3">
      <c r="A14">
        <v>13</v>
      </c>
      <c r="C14" s="5">
        <f t="shared" si="0"/>
        <v>4.3772568215889107</v>
      </c>
    </row>
    <row r="15" spans="1:3" x14ac:dyDescent="0.3">
      <c r="A15">
        <v>14</v>
      </c>
      <c r="B15">
        <v>4.5999999999999996</v>
      </c>
      <c r="C15" s="5">
        <f t="shared" si="0"/>
        <v>4.5436051104249859</v>
      </c>
    </row>
    <row r="16" spans="1:3" x14ac:dyDescent="0.3">
      <c r="A16">
        <v>15</v>
      </c>
      <c r="C16" s="5">
        <f t="shared" si="0"/>
        <v>4.7041490050876753</v>
      </c>
    </row>
    <row r="17" spans="1:3" x14ac:dyDescent="0.3">
      <c r="A17">
        <v>16</v>
      </c>
      <c r="B17">
        <v>5</v>
      </c>
      <c r="C17" s="5">
        <f t="shared" si="0"/>
        <v>4.8594590446634029</v>
      </c>
    </row>
    <row r="18" spans="1:3" x14ac:dyDescent="0.3">
      <c r="A18">
        <v>17</v>
      </c>
      <c r="C18" s="5">
        <f t="shared" si="0"/>
        <v>5.0100179413343744</v>
      </c>
    </row>
    <row r="19" spans="1:3" x14ac:dyDescent="0.3">
      <c r="A19">
        <v>18</v>
      </c>
      <c r="B19">
        <v>5.3</v>
      </c>
      <c r="C19" s="5">
        <f t="shared" si="0"/>
        <v>5.156238423096438</v>
      </c>
    </row>
    <row r="20" spans="1:3" x14ac:dyDescent="0.3">
      <c r="A20">
        <v>19</v>
      </c>
      <c r="C20" s="5">
        <f t="shared" si="0"/>
        <v>5.2984766692365168</v>
      </c>
    </row>
    <row r="21" spans="1:3" x14ac:dyDescent="0.3">
      <c r="A21">
        <v>20</v>
      </c>
      <c r="B21">
        <v>5.6</v>
      </c>
      <c r="C21" s="5">
        <f t="shared" si="0"/>
        <v>5.4370426004074037</v>
      </c>
    </row>
    <row r="22" spans="1:3" x14ac:dyDescent="0.3">
      <c r="A22">
        <v>21</v>
      </c>
      <c r="C22" s="5">
        <f t="shared" si="0"/>
        <v>5.5722078791512644</v>
      </c>
    </row>
    <row r="23" spans="1:3" x14ac:dyDescent="0.3">
      <c r="A23">
        <v>22</v>
      </c>
      <c r="C23" s="5">
        <f t="shared" si="0"/>
        <v>5.7042122143929852</v>
      </c>
    </row>
    <row r="24" spans="1:3" x14ac:dyDescent="0.3">
      <c r="A24">
        <v>23</v>
      </c>
      <c r="C24" s="5">
        <f t="shared" si="0"/>
        <v>5.8332683897208586</v>
      </c>
    </row>
    <row r="25" spans="1:3" x14ac:dyDescent="0.3">
      <c r="A25">
        <v>24</v>
      </c>
      <c r="C25" s="5">
        <f t="shared" si="0"/>
        <v>5.9595663177149563</v>
      </c>
    </row>
    <row r="26" spans="1:3" x14ac:dyDescent="0.3">
      <c r="A26">
        <v>25</v>
      </c>
      <c r="C26" s="5">
        <f t="shared" si="0"/>
        <v>6.0832763414497553</v>
      </c>
    </row>
    <row r="27" spans="1:3" x14ac:dyDescent="0.3">
      <c r="A27">
        <v>26</v>
      </c>
      <c r="C27" s="5">
        <f t="shared" si="0"/>
        <v>6.2045519473019368</v>
      </c>
    </row>
    <row r="28" spans="1:3" x14ac:dyDescent="0.3">
      <c r="A28">
        <v>27</v>
      </c>
      <c r="C28" s="5">
        <f t="shared" si="0"/>
        <v>6.3235320125064849</v>
      </c>
    </row>
    <row r="29" spans="1:3" x14ac:dyDescent="0.3">
      <c r="A29">
        <v>28</v>
      </c>
      <c r="B29">
        <v>6.5</v>
      </c>
      <c r="C29" s="5">
        <f t="shared" si="0"/>
        <v>6.4403426814297013</v>
      </c>
    </row>
    <row r="30" spans="1:3" x14ac:dyDescent="0.3">
      <c r="A30">
        <v>29</v>
      </c>
      <c r="C30" s="5">
        <f t="shared" si="0"/>
        <v>6.5550989428872759</v>
      </c>
    </row>
    <row r="31" spans="1:3" x14ac:dyDescent="0.3">
      <c r="A31">
        <v>30</v>
      </c>
      <c r="C31" s="5">
        <f t="shared" si="0"/>
        <v>6.6679059647499717</v>
      </c>
    </row>
    <row r="32" spans="1:3" x14ac:dyDescent="0.3">
      <c r="A32">
        <v>31</v>
      </c>
      <c r="C32" s="5">
        <f t="shared" si="0"/>
        <v>6.7788602299857494</v>
      </c>
    </row>
    <row r="33" spans="1:3" x14ac:dyDescent="0.3">
      <c r="A33">
        <v>32</v>
      </c>
      <c r="B33">
        <v>6.9</v>
      </c>
      <c r="C33" s="5">
        <f t="shared" si="0"/>
        <v>6.8880505090984867</v>
      </c>
    </row>
    <row r="34" spans="1:3" x14ac:dyDescent="0.3">
      <c r="A34">
        <v>33</v>
      </c>
      <c r="C34" s="5">
        <f t="shared" si="0"/>
        <v>6.9955586968732977</v>
      </c>
    </row>
    <row r="35" spans="1:3" x14ac:dyDescent="0.3">
      <c r="A35">
        <v>34</v>
      </c>
      <c r="C35" s="5">
        <f t="shared" si="0"/>
        <v>7.1014605358796938</v>
      </c>
    </row>
    <row r="36" spans="1:3" x14ac:dyDescent="0.3">
      <c r="A36">
        <v>35</v>
      </c>
      <c r="C36" s="5">
        <f t="shared" si="0"/>
        <v>7.2058262449212185</v>
      </c>
    </row>
    <row r="37" spans="1:3" x14ac:dyDescent="0.3">
      <c r="A37">
        <v>36</v>
      </c>
      <c r="B37">
        <v>7.4</v>
      </c>
      <c r="C37" s="5">
        <f t="shared" si="0"/>
        <v>7.308721067264945</v>
      </c>
    </row>
    <row r="38" spans="1:3" x14ac:dyDescent="0.3">
      <c r="A38">
        <v>37</v>
      </c>
      <c r="C38" s="5">
        <f t="shared" si="0"/>
        <v>7.4102057508236054</v>
      </c>
    </row>
    <row r="39" spans="1:3" x14ac:dyDescent="0.3">
      <c r="A39">
        <v>38</v>
      </c>
      <c r="C39" s="5">
        <f t="shared" si="0"/>
        <v>7.5103369703384342</v>
      </c>
    </row>
    <row r="40" spans="1:3" x14ac:dyDescent="0.3">
      <c r="A40">
        <v>39</v>
      </c>
      <c r="C40" s="5">
        <f t="shared" si="0"/>
        <v>7.6091676999028151</v>
      </c>
    </row>
    <row r="41" spans="1:3" x14ac:dyDescent="0.3">
      <c r="A41">
        <v>40</v>
      </c>
      <c r="B41">
        <v>7.7</v>
      </c>
      <c r="C41" s="5">
        <f t="shared" si="0"/>
        <v>7.7067475427854868</v>
      </c>
    </row>
    <row r="42" spans="1:3" x14ac:dyDescent="0.3">
      <c r="A42">
        <v>41</v>
      </c>
      <c r="C42" s="5">
        <f t="shared" si="0"/>
        <v>7.8031230243879763</v>
      </c>
    </row>
    <row r="43" spans="1:3" x14ac:dyDescent="0.3">
      <c r="A43">
        <v>42</v>
      </c>
      <c r="C43" s="5">
        <f t="shared" si="0"/>
        <v>7.8983378532515305</v>
      </c>
    </row>
    <row r="44" spans="1:3" x14ac:dyDescent="0.3">
      <c r="A44">
        <v>43</v>
      </c>
      <c r="C44" s="5">
        <f t="shared" si="0"/>
        <v>7.9924331542724243</v>
      </c>
    </row>
    <row r="45" spans="1:3" x14ac:dyDescent="0.3">
      <c r="A45">
        <v>44</v>
      </c>
      <c r="C45" s="5">
        <f t="shared" si="0"/>
        <v>8.0854476776595483</v>
      </c>
    </row>
    <row r="46" spans="1:3" x14ac:dyDescent="0.3">
      <c r="A46">
        <v>45</v>
      </c>
      <c r="B46">
        <v>8.1</v>
      </c>
      <c r="C46" s="5">
        <f t="shared" si="0"/>
        <v>8.1774179866489796</v>
      </c>
    </row>
    <row r="47" spans="1:3" x14ac:dyDescent="0.3">
      <c r="A47">
        <v>46</v>
      </c>
      <c r="C47" s="5">
        <f t="shared" si="0"/>
        <v>8.268378626557185</v>
      </c>
    </row>
    <row r="48" spans="1:3" x14ac:dyDescent="0.3">
      <c r="A48">
        <v>47</v>
      </c>
      <c r="C48" s="5">
        <f t="shared" si="0"/>
        <v>8.3583622773917252</v>
      </c>
    </row>
    <row r="49" spans="1:3" x14ac:dyDescent="0.3">
      <c r="A49">
        <v>48</v>
      </c>
      <c r="C49" s="5">
        <f t="shared" si="0"/>
        <v>8.4473998919330491</v>
      </c>
    </row>
    <row r="50" spans="1:3" x14ac:dyDescent="0.3">
      <c r="A50">
        <v>49</v>
      </c>
      <c r="C50" s="5">
        <f t="shared" si="0"/>
        <v>8.5355208209431783</v>
      </c>
    </row>
    <row r="51" spans="1:3" x14ac:dyDescent="0.3">
      <c r="A51">
        <v>50</v>
      </c>
      <c r="B51">
        <v>8.5</v>
      </c>
      <c r="C51" s="5">
        <f t="shared" si="0"/>
        <v>8.6227529269386345</v>
      </c>
    </row>
    <row r="52" spans="1:3" x14ac:dyDescent="0.3">
      <c r="A52">
        <v>51</v>
      </c>
      <c r="C52" s="5">
        <f t="shared" si="0"/>
        <v>8.7091226877789403</v>
      </c>
    </row>
    <row r="53" spans="1:3" x14ac:dyDescent="0.3">
      <c r="A53">
        <v>52</v>
      </c>
      <c r="C53" s="5">
        <f t="shared" si="0"/>
        <v>8.7946552911634566</v>
      </c>
    </row>
    <row r="54" spans="1:3" x14ac:dyDescent="0.3">
      <c r="A54">
        <v>53</v>
      </c>
      <c r="C54" s="5">
        <f t="shared" si="0"/>
        <v>8.8793747209932743</v>
      </c>
    </row>
    <row r="55" spans="1:3" x14ac:dyDescent="0.3">
      <c r="A55">
        <v>54</v>
      </c>
      <c r="C55" s="5">
        <f t="shared" si="0"/>
        <v>8.9633038364382163</v>
      </c>
    </row>
    <row r="56" spans="1:3" x14ac:dyDescent="0.3">
      <c r="A56">
        <v>55</v>
      </c>
      <c r="B56">
        <v>8.9</v>
      </c>
      <c r="C56" s="5">
        <f t="shared" si="0"/>
        <v>9.0464644444482847</v>
      </c>
    </row>
    <row r="57" spans="1:3" x14ac:dyDescent="0.3">
      <c r="A57">
        <v>56</v>
      </c>
      <c r="C57" s="5">
        <f t="shared" si="0"/>
        <v>9.1288773663619445</v>
      </c>
    </row>
    <row r="58" spans="1:3" x14ac:dyDescent="0.3">
      <c r="A58">
        <v>57</v>
      </c>
      <c r="C58" s="5">
        <f t="shared" si="0"/>
        <v>9.2105624991883381</v>
      </c>
    </row>
    <row r="59" spans="1:3" x14ac:dyDescent="0.3">
      <c r="A59">
        <v>58</v>
      </c>
      <c r="C59" s="5">
        <f t="shared" si="0"/>
        <v>9.2915388720748364</v>
      </c>
    </row>
    <row r="60" spans="1:3" x14ac:dyDescent="0.3">
      <c r="A60">
        <v>59</v>
      </c>
      <c r="C60" s="5">
        <f t="shared" si="0"/>
        <v>9.3718246984144962</v>
      </c>
    </row>
    <row r="61" spans="1:3" x14ac:dyDescent="0.3">
      <c r="A61">
        <v>60</v>
      </c>
      <c r="B61">
        <v>9.3000000000000007</v>
      </c>
      <c r="C61" s="5">
        <f t="shared" si="0"/>
        <v>9.4514374239979233</v>
      </c>
    </row>
    <row r="62" spans="1:3" x14ac:dyDescent="0.3">
      <c r="A62">
        <v>61</v>
      </c>
      <c r="C62" s="5">
        <f t="shared" si="0"/>
        <v>9.5303937715706191</v>
      </c>
    </row>
    <row r="63" spans="1:3" x14ac:dyDescent="0.3">
      <c r="A63">
        <v>62</v>
      </c>
      <c r="C63" s="5">
        <f t="shared" si="0"/>
        <v>9.6087097821183711</v>
      </c>
    </row>
    <row r="64" spans="1:3" x14ac:dyDescent="0.3">
      <c r="A64">
        <v>63</v>
      </c>
      <c r="C64" s="5">
        <f t="shared" si="0"/>
        <v>9.6864008531697134</v>
      </c>
    </row>
    <row r="65" spans="1:3" x14ac:dyDescent="0.3">
      <c r="A65">
        <v>64</v>
      </c>
      <c r="C65" s="5">
        <f t="shared" si="0"/>
        <v>9.7634817743748012</v>
      </c>
    </row>
    <row r="66" spans="1:3" x14ac:dyDescent="0.3">
      <c r="A66">
        <v>65</v>
      </c>
      <c r="B66">
        <v>9.6999999999999993</v>
      </c>
      <c r="C66" s="5">
        <f t="shared" si="0"/>
        <v>9.8399667605936578</v>
      </c>
    </row>
    <row r="67" spans="1:3" x14ac:dyDescent="0.3">
      <c r="A67">
        <v>66</v>
      </c>
      <c r="C67" s="5">
        <f t="shared" ref="C67:C130" si="1">1.2038*POWER(A67,0.5033)</f>
        <v>9.9158694827037301</v>
      </c>
    </row>
    <row r="68" spans="1:3" x14ac:dyDescent="0.3">
      <c r="A68">
        <v>67</v>
      </c>
      <c r="C68" s="5">
        <f t="shared" si="1"/>
        <v>9.991203096316001</v>
      </c>
    </row>
    <row r="69" spans="1:3" x14ac:dyDescent="0.3">
      <c r="A69">
        <v>68</v>
      </c>
      <c r="C69" s="5">
        <f t="shared" si="1"/>
        <v>10.065980268570639</v>
      </c>
    </row>
    <row r="70" spans="1:3" x14ac:dyDescent="0.3">
      <c r="A70">
        <v>69</v>
      </c>
      <c r="C70" s="5">
        <f t="shared" si="1"/>
        <v>10.140213203166857</v>
      </c>
    </row>
    <row r="71" spans="1:3" x14ac:dyDescent="0.3">
      <c r="A71">
        <v>70</v>
      </c>
      <c r="B71">
        <v>10.1</v>
      </c>
      <c r="C71" s="5">
        <f t="shared" si="1"/>
        <v>10.213913663767245</v>
      </c>
    </row>
    <row r="72" spans="1:3" x14ac:dyDescent="0.3">
      <c r="A72">
        <v>71</v>
      </c>
      <c r="C72" s="5">
        <f t="shared" si="1"/>
        <v>10.287092995903683</v>
      </c>
    </row>
    <row r="73" spans="1:3" x14ac:dyDescent="0.3">
      <c r="A73">
        <v>72</v>
      </c>
      <c r="C73" s="5">
        <f t="shared" si="1"/>
        <v>10.359762147500557</v>
      </c>
    </row>
    <row r="74" spans="1:3" x14ac:dyDescent="0.3">
      <c r="A74">
        <v>73</v>
      </c>
      <c r="C74" s="5">
        <f t="shared" si="1"/>
        <v>10.431931688120439</v>
      </c>
    </row>
    <row r="75" spans="1:3" x14ac:dyDescent="0.3">
      <c r="A75">
        <v>74</v>
      </c>
      <c r="C75" s="5">
        <f t="shared" si="1"/>
        <v>10.503611827028083</v>
      </c>
    </row>
    <row r="76" spans="1:3" x14ac:dyDescent="0.3">
      <c r="A76">
        <v>75</v>
      </c>
      <c r="B76">
        <v>10.5</v>
      </c>
      <c r="C76" s="5">
        <f t="shared" si="1"/>
        <v>10.574812430160319</v>
      </c>
    </row>
    <row r="77" spans="1:3" x14ac:dyDescent="0.3">
      <c r="A77">
        <v>76</v>
      </c>
      <c r="C77" s="5">
        <f t="shared" si="1"/>
        <v>10.645543036081726</v>
      </c>
    </row>
    <row r="78" spans="1:3" x14ac:dyDescent="0.3">
      <c r="A78">
        <v>77</v>
      </c>
      <c r="C78" s="5">
        <f t="shared" si="1"/>
        <v>10.715812870999182</v>
      </c>
    </row>
    <row r="79" spans="1:3" x14ac:dyDescent="0.3">
      <c r="A79">
        <v>78</v>
      </c>
      <c r="C79" s="5">
        <f t="shared" si="1"/>
        <v>10.785630862902305</v>
      </c>
    </row>
    <row r="80" spans="1:3" x14ac:dyDescent="0.3">
      <c r="A80">
        <v>79</v>
      </c>
      <c r="C80" s="5">
        <f t="shared" si="1"/>
        <v>10.855005654891251</v>
      </c>
    </row>
    <row r="81" spans="1:3" x14ac:dyDescent="0.3">
      <c r="A81">
        <v>80</v>
      </c>
      <c r="B81">
        <v>10.9</v>
      </c>
      <c r="C81" s="5">
        <f t="shared" si="1"/>
        <v>10.923945617748085</v>
      </c>
    </row>
    <row r="82" spans="1:3" x14ac:dyDescent="0.3">
      <c r="A82">
        <v>81</v>
      </c>
      <c r="C82" s="5">
        <f t="shared" si="1"/>
        <v>10.992458861803717</v>
      </c>
    </row>
    <row r="83" spans="1:3" x14ac:dyDescent="0.3">
      <c r="A83">
        <v>82</v>
      </c>
      <c r="C83" s="5">
        <f t="shared" si="1"/>
        <v>11.060553248147951</v>
      </c>
    </row>
    <row r="84" spans="1:3" x14ac:dyDescent="0.3">
      <c r="A84">
        <v>83</v>
      </c>
      <c r="C84" s="5">
        <f t="shared" si="1"/>
        <v>11.128236399226616</v>
      </c>
    </row>
    <row r="85" spans="1:3" x14ac:dyDescent="0.3">
      <c r="A85">
        <v>84</v>
      </c>
      <c r="C85" s="5">
        <f t="shared" si="1"/>
        <v>11.195515708866198</v>
      </c>
    </row>
    <row r="86" spans="1:3" x14ac:dyDescent="0.3">
      <c r="A86">
        <v>85</v>
      </c>
      <c r="C86" s="5">
        <f t="shared" si="1"/>
        <v>11.262398351763418</v>
      </c>
    </row>
    <row r="87" spans="1:3" x14ac:dyDescent="0.3">
      <c r="A87">
        <v>86</v>
      </c>
      <c r="C87" s="5">
        <f t="shared" si="1"/>
        <v>11.328891292474113</v>
      </c>
    </row>
    <row r="88" spans="1:3" x14ac:dyDescent="0.3">
      <c r="A88">
        <v>87</v>
      </c>
      <c r="C88" s="5">
        <f t="shared" si="1"/>
        <v>11.395001293933522</v>
      </c>
    </row>
    <row r="89" spans="1:3" x14ac:dyDescent="0.3">
      <c r="A89">
        <v>88</v>
      </c>
      <c r="C89" s="5">
        <f t="shared" si="1"/>
        <v>11.460734925537317</v>
      </c>
    </row>
    <row r="90" spans="1:3" x14ac:dyDescent="0.3">
      <c r="A90">
        <v>89</v>
      </c>
      <c r="C90" s="5">
        <f t="shared" si="1"/>
        <v>11.526098570810886</v>
      </c>
    </row>
    <row r="91" spans="1:3" x14ac:dyDescent="0.3">
      <c r="A91">
        <v>90</v>
      </c>
      <c r="B91">
        <v>11.6</v>
      </c>
      <c r="C91" s="5">
        <f t="shared" si="1"/>
        <v>11.591098434692164</v>
      </c>
    </row>
    <row r="92" spans="1:3" x14ac:dyDescent="0.3">
      <c r="A92">
        <v>91</v>
      </c>
      <c r="C92" s="5">
        <f t="shared" si="1"/>
        <v>11.655740550451506</v>
      </c>
    </row>
    <row r="93" spans="1:3" x14ac:dyDescent="0.3">
      <c r="A93">
        <v>92</v>
      </c>
      <c r="C93" s="5">
        <f t="shared" si="1"/>
        <v>11.720030786270614</v>
      </c>
    </row>
    <row r="94" spans="1:3" x14ac:dyDescent="0.3">
      <c r="A94">
        <v>93</v>
      </c>
      <c r="C94" s="5">
        <f t="shared" si="1"/>
        <v>11.783974851500638</v>
      </c>
    </row>
    <row r="95" spans="1:3" x14ac:dyDescent="0.3">
      <c r="A95">
        <v>94</v>
      </c>
      <c r="C95" s="5">
        <f t="shared" si="1"/>
        <v>11.847578302618563</v>
      </c>
    </row>
    <row r="96" spans="1:3" x14ac:dyDescent="0.3">
      <c r="A96">
        <v>95</v>
      </c>
      <c r="C96" s="5">
        <f t="shared" si="1"/>
        <v>11.910846548899327</v>
      </c>
    </row>
    <row r="97" spans="1:3" x14ac:dyDescent="0.3">
      <c r="A97">
        <v>96</v>
      </c>
      <c r="C97" s="5">
        <f t="shared" si="1"/>
        <v>11.973784857820172</v>
      </c>
    </row>
    <row r="98" spans="1:3" x14ac:dyDescent="0.3">
      <c r="A98">
        <v>97</v>
      </c>
      <c r="C98" s="5">
        <f t="shared" si="1"/>
        <v>12.036398360212441</v>
      </c>
    </row>
    <row r="99" spans="1:3" x14ac:dyDescent="0.3">
      <c r="A99">
        <v>98</v>
      </c>
      <c r="C99" s="5">
        <f t="shared" si="1"/>
        <v>12.098692055175208</v>
      </c>
    </row>
    <row r="100" spans="1:3" x14ac:dyDescent="0.3">
      <c r="A100">
        <v>99</v>
      </c>
      <c r="C100" s="5">
        <f t="shared" si="1"/>
        <v>12.160670814763913</v>
      </c>
    </row>
    <row r="101" spans="1:3" x14ac:dyDescent="0.3">
      <c r="A101">
        <v>100</v>
      </c>
      <c r="B101">
        <v>12.2</v>
      </c>
      <c r="C101" s="5">
        <f t="shared" si="1"/>
        <v>12.222339388466672</v>
      </c>
    </row>
    <row r="102" spans="1:3" x14ac:dyDescent="0.3">
      <c r="A102">
        <v>101</v>
      </c>
      <c r="C102" s="5">
        <f t="shared" si="1"/>
        <v>12.283702407479639</v>
      </c>
    </row>
    <row r="103" spans="1:3" x14ac:dyDescent="0.3">
      <c r="A103">
        <v>102</v>
      </c>
      <c r="C103" s="5">
        <f t="shared" si="1"/>
        <v>12.344764388792605</v>
      </c>
    </row>
    <row r="104" spans="1:3" x14ac:dyDescent="0.3">
      <c r="A104">
        <v>103</v>
      </c>
      <c r="C104" s="5">
        <f t="shared" si="1"/>
        <v>12.405529739094831</v>
      </c>
    </row>
    <row r="105" spans="1:3" x14ac:dyDescent="0.3">
      <c r="A105">
        <v>104</v>
      </c>
      <c r="C105" s="5">
        <f t="shared" si="1"/>
        <v>12.466002758510781</v>
      </c>
    </row>
    <row r="106" spans="1:3" x14ac:dyDescent="0.3">
      <c r="A106">
        <v>105</v>
      </c>
      <c r="C106" s="5">
        <f t="shared" si="1"/>
        <v>12.526187644174719</v>
      </c>
    </row>
    <row r="107" spans="1:3" x14ac:dyDescent="0.3">
      <c r="A107">
        <v>106</v>
      </c>
      <c r="C107" s="5">
        <f t="shared" si="1"/>
        <v>12.586088493652568</v>
      </c>
    </row>
    <row r="108" spans="1:3" x14ac:dyDescent="0.3">
      <c r="A108">
        <v>107</v>
      </c>
      <c r="C108" s="5">
        <f t="shared" si="1"/>
        <v>12.645709308218906</v>
      </c>
    </row>
    <row r="109" spans="1:3" x14ac:dyDescent="0.3">
      <c r="A109">
        <v>108</v>
      </c>
      <c r="C109" s="5">
        <f t="shared" si="1"/>
        <v>12.705053995996625</v>
      </c>
    </row>
    <row r="110" spans="1:3" x14ac:dyDescent="0.3">
      <c r="A110">
        <v>109</v>
      </c>
      <c r="C110" s="5">
        <f t="shared" si="1"/>
        <v>12.764126374966054</v>
      </c>
    </row>
    <row r="111" spans="1:3" x14ac:dyDescent="0.3">
      <c r="A111">
        <v>110</v>
      </c>
      <c r="C111" s="5">
        <f t="shared" si="1"/>
        <v>12.822930175850372</v>
      </c>
    </row>
    <row r="112" spans="1:3" x14ac:dyDescent="0.3">
      <c r="A112">
        <v>111</v>
      </c>
      <c r="C112" s="5">
        <f t="shared" si="1"/>
        <v>12.881469044883131</v>
      </c>
    </row>
    <row r="113" spans="1:3" x14ac:dyDescent="0.3">
      <c r="A113">
        <v>112</v>
      </c>
      <c r="C113" s="5">
        <f t="shared" si="1"/>
        <v>12.939746546464109</v>
      </c>
    </row>
    <row r="114" spans="1:3" x14ac:dyDescent="0.3">
      <c r="A114">
        <v>113</v>
      </c>
      <c r="C114" s="5">
        <f t="shared" si="1"/>
        <v>12.997766165708597</v>
      </c>
    </row>
    <row r="115" spans="1:3" x14ac:dyDescent="0.3">
      <c r="A115">
        <v>114</v>
      </c>
      <c r="C115" s="5">
        <f t="shared" si="1"/>
        <v>13.055531310895557</v>
      </c>
    </row>
    <row r="116" spans="1:3" x14ac:dyDescent="0.3">
      <c r="A116">
        <v>115</v>
      </c>
      <c r="C116" s="5">
        <f t="shared" si="1"/>
        <v>13.113045315819392</v>
      </c>
    </row>
    <row r="117" spans="1:3" x14ac:dyDescent="0.3">
      <c r="A117">
        <v>116</v>
      </c>
      <c r="C117" s="5">
        <f t="shared" si="1"/>
        <v>13.170311442049934</v>
      </c>
    </row>
    <row r="118" spans="1:3" x14ac:dyDescent="0.3">
      <c r="A118">
        <v>117</v>
      </c>
      <c r="C118" s="5">
        <f t="shared" si="1"/>
        <v>13.227332881105033</v>
      </c>
    </row>
    <row r="119" spans="1:3" x14ac:dyDescent="0.3">
      <c r="A119">
        <v>118</v>
      </c>
      <c r="C119" s="5">
        <f t="shared" si="1"/>
        <v>13.284112756539786</v>
      </c>
    </row>
    <row r="120" spans="1:3" x14ac:dyDescent="0.3">
      <c r="A120">
        <v>119</v>
      </c>
      <c r="C120" s="5">
        <f t="shared" si="1"/>
        <v>13.340654125956345</v>
      </c>
    </row>
    <row r="121" spans="1:3" x14ac:dyDescent="0.3">
      <c r="A121">
        <v>120</v>
      </c>
      <c r="C121" s="5">
        <f t="shared" si="1"/>
        <v>13.396959982937927</v>
      </c>
    </row>
    <row r="122" spans="1:3" x14ac:dyDescent="0.3">
      <c r="A122">
        <v>121</v>
      </c>
      <c r="C122" s="5">
        <f t="shared" si="1"/>
        <v>13.453033258910505</v>
      </c>
    </row>
    <row r="123" spans="1:3" x14ac:dyDescent="0.3">
      <c r="A123">
        <v>122</v>
      </c>
      <c r="C123" s="5">
        <f t="shared" si="1"/>
        <v>13.508876824935383</v>
      </c>
    </row>
    <row r="124" spans="1:3" x14ac:dyDescent="0.3">
      <c r="A124">
        <v>123</v>
      </c>
      <c r="C124" s="5">
        <f t="shared" si="1"/>
        <v>13.564493493435963</v>
      </c>
    </row>
    <row r="125" spans="1:3" x14ac:dyDescent="0.3">
      <c r="A125">
        <v>124</v>
      </c>
      <c r="C125" s="5">
        <f t="shared" si="1"/>
        <v>13.619886019861388</v>
      </c>
    </row>
    <row r="126" spans="1:3" x14ac:dyDescent="0.3">
      <c r="A126">
        <v>125</v>
      </c>
      <c r="B126">
        <v>13.7</v>
      </c>
      <c r="C126" s="5">
        <f t="shared" si="1"/>
        <v>13.675057104290028</v>
      </c>
    </row>
    <row r="127" spans="1:3" x14ac:dyDescent="0.3">
      <c r="A127">
        <v>126</v>
      </c>
      <c r="C127" s="5">
        <f t="shared" si="1"/>
        <v>13.730009392975374</v>
      </c>
    </row>
    <row r="128" spans="1:3" x14ac:dyDescent="0.3">
      <c r="A128">
        <v>127</v>
      </c>
      <c r="C128" s="5">
        <f t="shared" si="1"/>
        <v>13.784745479836923</v>
      </c>
    </row>
    <row r="129" spans="1:3" x14ac:dyDescent="0.3">
      <c r="A129">
        <v>128</v>
      </c>
      <c r="C129" s="5">
        <f t="shared" si="1"/>
        <v>13.839267907898261</v>
      </c>
    </row>
    <row r="130" spans="1:3" x14ac:dyDescent="0.3">
      <c r="A130">
        <v>129</v>
      </c>
      <c r="C130" s="5">
        <f t="shared" si="1"/>
        <v>13.893579170674851</v>
      </c>
    </row>
    <row r="131" spans="1:3" x14ac:dyDescent="0.3">
      <c r="A131">
        <v>130</v>
      </c>
      <c r="C131" s="5">
        <f t="shared" ref="C131:C194" si="2">1.2038*POWER(A131,0.5033)</f>
        <v>13.947681713513465</v>
      </c>
    </row>
    <row r="132" spans="1:3" x14ac:dyDescent="0.3">
      <c r="A132">
        <v>131</v>
      </c>
      <c r="C132" s="5">
        <f t="shared" si="2"/>
        <v>14.001577934885347</v>
      </c>
    </row>
    <row r="133" spans="1:3" x14ac:dyDescent="0.3">
      <c r="A133">
        <v>132</v>
      </c>
      <c r="C133" s="5">
        <f t="shared" si="2"/>
        <v>14.055270187635163</v>
      </c>
    </row>
    <row r="134" spans="1:3" x14ac:dyDescent="0.3">
      <c r="A134">
        <v>133</v>
      </c>
      <c r="C134" s="5">
        <f t="shared" si="2"/>
        <v>14.108760780187383</v>
      </c>
    </row>
    <row r="135" spans="1:3" x14ac:dyDescent="0.3">
      <c r="A135">
        <v>134</v>
      </c>
      <c r="C135" s="5">
        <f t="shared" si="2"/>
        <v>14.162051977712006</v>
      </c>
    </row>
    <row r="136" spans="1:3" x14ac:dyDescent="0.3">
      <c r="A136">
        <v>135</v>
      </c>
      <c r="C136" s="5">
        <f t="shared" si="2"/>
        <v>14.215146003251219</v>
      </c>
    </row>
    <row r="137" spans="1:3" x14ac:dyDescent="0.3">
      <c r="A137">
        <v>136</v>
      </c>
      <c r="C137" s="5">
        <f t="shared" si="2"/>
        <v>14.268045038808619</v>
      </c>
    </row>
    <row r="138" spans="1:3" x14ac:dyDescent="0.3">
      <c r="A138">
        <v>137</v>
      </c>
      <c r="C138" s="5">
        <f t="shared" si="2"/>
        <v>14.320751226402429</v>
      </c>
    </row>
    <row r="139" spans="1:3" x14ac:dyDescent="0.3">
      <c r="A139">
        <v>138</v>
      </c>
      <c r="C139" s="5">
        <f t="shared" si="2"/>
        <v>14.373266669084297</v>
      </c>
    </row>
    <row r="140" spans="1:3" x14ac:dyDescent="0.3">
      <c r="A140">
        <v>139</v>
      </c>
      <c r="C140" s="5">
        <f t="shared" si="2"/>
        <v>14.425593431924826</v>
      </c>
    </row>
    <row r="141" spans="1:3" x14ac:dyDescent="0.3">
      <c r="A141">
        <v>140</v>
      </c>
      <c r="C141" s="5">
        <f t="shared" si="2"/>
        <v>14.477733542967455</v>
      </c>
    </row>
    <row r="142" spans="1:3" x14ac:dyDescent="0.3">
      <c r="A142">
        <v>141</v>
      </c>
      <c r="C142" s="5">
        <f t="shared" si="2"/>
        <v>14.529688994151561</v>
      </c>
    </row>
    <row r="143" spans="1:3" x14ac:dyDescent="0.3">
      <c r="A143">
        <v>142</v>
      </c>
      <c r="C143" s="5">
        <f t="shared" si="2"/>
        <v>14.58146174220631</v>
      </c>
    </row>
    <row r="144" spans="1:3" x14ac:dyDescent="0.3">
      <c r="A144">
        <v>143</v>
      </c>
      <c r="C144" s="5">
        <f t="shared" si="2"/>
        <v>14.633053709516194</v>
      </c>
    </row>
    <row r="145" spans="1:3" x14ac:dyDescent="0.3">
      <c r="A145">
        <v>144</v>
      </c>
      <c r="C145" s="5">
        <f t="shared" si="2"/>
        <v>14.684466784959435</v>
      </c>
    </row>
    <row r="146" spans="1:3" x14ac:dyDescent="0.3">
      <c r="A146">
        <v>145</v>
      </c>
      <c r="C146" s="5">
        <f t="shared" si="2"/>
        <v>14.735702824720191</v>
      </c>
    </row>
    <row r="147" spans="1:3" x14ac:dyDescent="0.3">
      <c r="A147">
        <v>146</v>
      </c>
      <c r="C147" s="5">
        <f t="shared" si="2"/>
        <v>14.786763653075669</v>
      </c>
    </row>
    <row r="148" spans="1:3" x14ac:dyDescent="0.3">
      <c r="A148">
        <v>147</v>
      </c>
      <c r="C148" s="5">
        <f t="shared" si="2"/>
        <v>14.837651063159022</v>
      </c>
    </row>
    <row r="149" spans="1:3" x14ac:dyDescent="0.3">
      <c r="A149">
        <v>148</v>
      </c>
      <c r="C149" s="5">
        <f t="shared" si="2"/>
        <v>14.888366817698948</v>
      </c>
    </row>
    <row r="150" spans="1:3" x14ac:dyDescent="0.3">
      <c r="A150">
        <v>149</v>
      </c>
      <c r="C150" s="5">
        <f t="shared" si="2"/>
        <v>14.938912649736837</v>
      </c>
    </row>
    <row r="151" spans="1:3" x14ac:dyDescent="0.3">
      <c r="A151">
        <v>150</v>
      </c>
      <c r="B151">
        <v>15</v>
      </c>
      <c r="C151" s="5">
        <f t="shared" si="2"/>
        <v>14.989290263322331</v>
      </c>
    </row>
    <row r="152" spans="1:3" x14ac:dyDescent="0.3">
      <c r="A152">
        <v>151</v>
      </c>
      <c r="C152" s="5">
        <f t="shared" si="2"/>
        <v>15.039501334188069</v>
      </c>
    </row>
    <row r="153" spans="1:3" x14ac:dyDescent="0.3">
      <c r="A153">
        <v>152</v>
      </c>
      <c r="C153" s="5">
        <f t="shared" si="2"/>
        <v>15.089547510404358</v>
      </c>
    </row>
    <row r="154" spans="1:3" x14ac:dyDescent="0.3">
      <c r="A154">
        <v>153</v>
      </c>
      <c r="C154" s="5">
        <f t="shared" si="2"/>
        <v>15.139430413014496</v>
      </c>
    </row>
    <row r="155" spans="1:3" x14ac:dyDescent="0.3">
      <c r="A155">
        <v>154</v>
      </c>
      <c r="C155" s="5">
        <f t="shared" si="2"/>
        <v>15.189151636651493</v>
      </c>
    </row>
    <row r="156" spans="1:3" x14ac:dyDescent="0.3">
      <c r="A156">
        <v>155</v>
      </c>
      <c r="C156" s="5">
        <f t="shared" si="2"/>
        <v>15.238712750136768</v>
      </c>
    </row>
    <row r="157" spans="1:3" x14ac:dyDescent="0.3">
      <c r="A157">
        <v>156</v>
      </c>
      <c r="C157" s="5">
        <f t="shared" si="2"/>
        <v>15.288115297061534</v>
      </c>
    </row>
    <row r="158" spans="1:3" x14ac:dyDescent="0.3">
      <c r="A158">
        <v>157</v>
      </c>
      <c r="C158" s="5">
        <f t="shared" si="2"/>
        <v>15.33736079635144</v>
      </c>
    </row>
    <row r="159" spans="1:3" x14ac:dyDescent="0.3">
      <c r="A159">
        <v>158</v>
      </c>
      <c r="C159" s="5">
        <f t="shared" si="2"/>
        <v>15.386450742815079</v>
      </c>
    </row>
    <row r="160" spans="1:3" x14ac:dyDescent="0.3">
      <c r="A160">
        <v>159</v>
      </c>
      <c r="C160" s="5">
        <f t="shared" si="2"/>
        <v>15.43538660767685</v>
      </c>
    </row>
    <row r="161" spans="1:3" x14ac:dyDescent="0.3">
      <c r="A161">
        <v>160</v>
      </c>
      <c r="C161" s="5">
        <f t="shared" si="2"/>
        <v>15.484169839094879</v>
      </c>
    </row>
    <row r="162" spans="1:3" x14ac:dyDescent="0.3">
      <c r="A162">
        <v>161</v>
      </c>
      <c r="C162" s="5">
        <f t="shared" si="2"/>
        <v>15.53280186266433</v>
      </c>
    </row>
    <row r="163" spans="1:3" x14ac:dyDescent="0.3">
      <c r="A163">
        <v>162</v>
      </c>
      <c r="C163" s="5">
        <f t="shared" si="2"/>
        <v>15.581284081906663</v>
      </c>
    </row>
    <row r="164" spans="1:3" x14ac:dyDescent="0.3">
      <c r="A164">
        <v>163</v>
      </c>
      <c r="C164" s="5">
        <f t="shared" si="2"/>
        <v>15.629617878745426</v>
      </c>
    </row>
    <row r="165" spans="1:3" x14ac:dyDescent="0.3">
      <c r="A165">
        <v>164</v>
      </c>
      <c r="C165" s="5">
        <f t="shared" si="2"/>
        <v>15.677804613968817</v>
      </c>
    </row>
    <row r="166" spans="1:3" x14ac:dyDescent="0.3">
      <c r="A166">
        <v>165</v>
      </c>
      <c r="C166" s="5">
        <f t="shared" si="2"/>
        <v>15.725845627679707</v>
      </c>
    </row>
    <row r="167" spans="1:3" x14ac:dyDescent="0.3">
      <c r="A167">
        <v>166</v>
      </c>
      <c r="C167" s="5">
        <f t="shared" si="2"/>
        <v>15.773742239733311</v>
      </c>
    </row>
    <row r="168" spans="1:3" x14ac:dyDescent="0.3">
      <c r="A168">
        <v>167</v>
      </c>
      <c r="C168" s="5">
        <f t="shared" si="2"/>
        <v>15.821495750163079</v>
      </c>
    </row>
    <row r="169" spans="1:3" x14ac:dyDescent="0.3">
      <c r="A169">
        <v>168</v>
      </c>
      <c r="C169" s="5">
        <f t="shared" si="2"/>
        <v>15.869107439595144</v>
      </c>
    </row>
    <row r="170" spans="1:3" x14ac:dyDescent="0.3">
      <c r="A170">
        <v>169</v>
      </c>
      <c r="C170" s="5">
        <f t="shared" si="2"/>
        <v>15.91657856965165</v>
      </c>
    </row>
    <row r="171" spans="1:3" x14ac:dyDescent="0.3">
      <c r="A171">
        <v>170</v>
      </c>
      <c r="C171" s="5">
        <f t="shared" si="2"/>
        <v>15.963910383343373</v>
      </c>
    </row>
    <row r="172" spans="1:3" x14ac:dyDescent="0.3">
      <c r="A172">
        <v>171</v>
      </c>
      <c r="C172" s="5">
        <f t="shared" si="2"/>
        <v>16.01110410545202</v>
      </c>
    </row>
    <row r="173" spans="1:3" x14ac:dyDescent="0.3">
      <c r="A173">
        <v>172</v>
      </c>
      <c r="C173" s="5">
        <f t="shared" si="2"/>
        <v>16.058160942902411</v>
      </c>
    </row>
    <row r="174" spans="1:3" x14ac:dyDescent="0.3">
      <c r="A174">
        <v>173</v>
      </c>
      <c r="C174" s="5">
        <f t="shared" si="2"/>
        <v>16.105082085125048</v>
      </c>
    </row>
    <row r="175" spans="1:3" x14ac:dyDescent="0.3">
      <c r="A175">
        <v>174</v>
      </c>
      <c r="C175" s="5">
        <f t="shared" si="2"/>
        <v>16.151868704409129</v>
      </c>
    </row>
    <row r="176" spans="1:3" x14ac:dyDescent="0.3">
      <c r="A176">
        <v>175</v>
      </c>
      <c r="B176">
        <v>16.100000000000001</v>
      </c>
      <c r="C176" s="5">
        <f t="shared" si="2"/>
        <v>16.198521956246616</v>
      </c>
    </row>
    <row r="177" spans="1:3" x14ac:dyDescent="0.3">
      <c r="A177">
        <v>176</v>
      </c>
      <c r="C177" s="5">
        <f t="shared" si="2"/>
        <v>16.245042979667321</v>
      </c>
    </row>
    <row r="178" spans="1:3" x14ac:dyDescent="0.3">
      <c r="A178">
        <v>177</v>
      </c>
      <c r="C178" s="5">
        <f t="shared" si="2"/>
        <v>16.291432897565599</v>
      </c>
    </row>
    <row r="179" spans="1:3" x14ac:dyDescent="0.3">
      <c r="A179">
        <v>178</v>
      </c>
      <c r="C179" s="5">
        <f t="shared" si="2"/>
        <v>16.337692817018581</v>
      </c>
    </row>
    <row r="180" spans="1:3" x14ac:dyDescent="0.3">
      <c r="A180">
        <v>179</v>
      </c>
      <c r="C180" s="5">
        <f t="shared" si="2"/>
        <v>16.383823829596523</v>
      </c>
    </row>
    <row r="181" spans="1:3" x14ac:dyDescent="0.3">
      <c r="A181">
        <v>180</v>
      </c>
      <c r="C181" s="5">
        <f t="shared" si="2"/>
        <v>16.429827011665299</v>
      </c>
    </row>
    <row r="182" spans="1:3" x14ac:dyDescent="0.3">
      <c r="A182">
        <v>181</v>
      </c>
      <c r="C182" s="5">
        <f t="shared" si="2"/>
        <v>16.475703424681345</v>
      </c>
    </row>
    <row r="183" spans="1:3" x14ac:dyDescent="0.3">
      <c r="A183">
        <v>182</v>
      </c>
      <c r="C183" s="5">
        <f t="shared" si="2"/>
        <v>16.521454115479315</v>
      </c>
    </row>
    <row r="184" spans="1:3" x14ac:dyDescent="0.3">
      <c r="A184">
        <v>183</v>
      </c>
      <c r="C184" s="5">
        <f t="shared" si="2"/>
        <v>16.567080116552663</v>
      </c>
    </row>
    <row r="185" spans="1:3" x14ac:dyDescent="0.3">
      <c r="A185">
        <v>184</v>
      </c>
      <c r="C185" s="5">
        <f t="shared" si="2"/>
        <v>16.61258244632721</v>
      </c>
    </row>
    <row r="186" spans="1:3" x14ac:dyDescent="0.3">
      <c r="A186">
        <v>185</v>
      </c>
      <c r="C186" s="5">
        <f t="shared" si="2"/>
        <v>16.657962109428212</v>
      </c>
    </row>
    <row r="187" spans="1:3" x14ac:dyDescent="0.3">
      <c r="A187">
        <v>186</v>
      </c>
      <c r="C187" s="5">
        <f t="shared" si="2"/>
        <v>16.703220096940857</v>
      </c>
    </row>
    <row r="188" spans="1:3" x14ac:dyDescent="0.3">
      <c r="A188">
        <v>187</v>
      </c>
      <c r="C188" s="5">
        <f t="shared" si="2"/>
        <v>16.748357386664377</v>
      </c>
    </row>
    <row r="189" spans="1:3" x14ac:dyDescent="0.3">
      <c r="A189">
        <v>188</v>
      </c>
      <c r="C189" s="5">
        <f t="shared" si="2"/>
        <v>16.793374943360302</v>
      </c>
    </row>
    <row r="190" spans="1:3" x14ac:dyDescent="0.3">
      <c r="A190">
        <v>189</v>
      </c>
      <c r="C190" s="5">
        <f t="shared" si="2"/>
        <v>16.838273718994529</v>
      </c>
    </row>
    <row r="191" spans="1:3" x14ac:dyDescent="0.3">
      <c r="A191">
        <v>190</v>
      </c>
      <c r="C191" s="5">
        <f t="shared" si="2"/>
        <v>16.883054652973787</v>
      </c>
    </row>
    <row r="192" spans="1:3" x14ac:dyDescent="0.3">
      <c r="A192">
        <v>191</v>
      </c>
      <c r="C192" s="5">
        <f t="shared" si="2"/>
        <v>16.927718672376464</v>
      </c>
    </row>
    <row r="193" spans="1:3" x14ac:dyDescent="0.3">
      <c r="A193">
        <v>192</v>
      </c>
      <c r="C193" s="5">
        <f t="shared" si="2"/>
        <v>16.972266692178039</v>
      </c>
    </row>
    <row r="194" spans="1:3" x14ac:dyDescent="0.3">
      <c r="A194">
        <v>193</v>
      </c>
      <c r="C194" s="5">
        <f t="shared" si="2"/>
        <v>17.0166996154712</v>
      </c>
    </row>
    <row r="195" spans="1:3" x14ac:dyDescent="0.3">
      <c r="A195">
        <v>194</v>
      </c>
      <c r="C195" s="5">
        <f t="shared" ref="C195:C258" si="3">1.2038*POWER(A195,0.5033)</f>
        <v>17.061018333680845</v>
      </c>
    </row>
    <row r="196" spans="1:3" x14ac:dyDescent="0.3">
      <c r="A196">
        <v>195</v>
      </c>
      <c r="C196" s="5">
        <f t="shared" si="3"/>
        <v>17.105223726774142</v>
      </c>
    </row>
    <row r="197" spans="1:3" x14ac:dyDescent="0.3">
      <c r="A197">
        <v>196</v>
      </c>
      <c r="C197" s="5">
        <f t="shared" si="3"/>
        <v>17.149316663465733</v>
      </c>
    </row>
    <row r="198" spans="1:3" x14ac:dyDescent="0.3">
      <c r="A198">
        <v>197</v>
      </c>
      <c r="C198" s="5">
        <f t="shared" si="3"/>
        <v>17.193298001418214</v>
      </c>
    </row>
    <row r="199" spans="1:3" x14ac:dyDescent="0.3">
      <c r="A199">
        <v>198</v>
      </c>
      <c r="C199" s="5">
        <f t="shared" si="3"/>
        <v>17.237168587438045</v>
      </c>
    </row>
    <row r="200" spans="1:3" x14ac:dyDescent="0.3">
      <c r="A200">
        <v>199</v>
      </c>
      <c r="C200" s="5">
        <f t="shared" si="3"/>
        <v>17.280929257667086</v>
      </c>
    </row>
    <row r="201" spans="1:3" x14ac:dyDescent="0.3">
      <c r="A201">
        <v>200</v>
      </c>
      <c r="B201">
        <v>17.2</v>
      </c>
      <c r="C201" s="5">
        <f t="shared" si="3"/>
        <v>17.324580837769723</v>
      </c>
    </row>
    <row r="202" spans="1:3" x14ac:dyDescent="0.3">
      <c r="A202">
        <v>201</v>
      </c>
      <c r="C202" s="5">
        <f t="shared" si="3"/>
        <v>17.368124143115807</v>
      </c>
    </row>
    <row r="203" spans="1:3" x14ac:dyDescent="0.3">
      <c r="A203">
        <v>202</v>
      </c>
      <c r="C203" s="5">
        <f t="shared" si="3"/>
        <v>17.411559978959584</v>
      </c>
    </row>
    <row r="204" spans="1:3" x14ac:dyDescent="0.3">
      <c r="A204">
        <v>203</v>
      </c>
      <c r="C204" s="5">
        <f t="shared" si="3"/>
        <v>17.454889140614505</v>
      </c>
    </row>
    <row r="205" spans="1:3" x14ac:dyDescent="0.3">
      <c r="A205">
        <v>204</v>
      </c>
      <c r="C205" s="5">
        <f t="shared" si="3"/>
        <v>17.498112413624341</v>
      </c>
    </row>
    <row r="206" spans="1:3" x14ac:dyDescent="0.3">
      <c r="A206">
        <v>205</v>
      </c>
      <c r="C206" s="5">
        <f t="shared" si="3"/>
        <v>17.541230573930392</v>
      </c>
    </row>
    <row r="207" spans="1:3" x14ac:dyDescent="0.3">
      <c r="A207">
        <v>206</v>
      </c>
      <c r="C207" s="5">
        <f t="shared" si="3"/>
        <v>17.584244388035053</v>
      </c>
    </row>
    <row r="208" spans="1:3" x14ac:dyDescent="0.3">
      <c r="A208">
        <v>207</v>
      </c>
      <c r="C208" s="5">
        <f t="shared" si="3"/>
        <v>17.627154613161888</v>
      </c>
    </row>
    <row r="209" spans="1:3" x14ac:dyDescent="0.3">
      <c r="A209">
        <v>208</v>
      </c>
      <c r="C209" s="5">
        <f t="shared" si="3"/>
        <v>17.669961997412202</v>
      </c>
    </row>
    <row r="210" spans="1:3" x14ac:dyDescent="0.3">
      <c r="A210">
        <v>209</v>
      </c>
      <c r="C210" s="5">
        <f t="shared" si="3"/>
        <v>17.712667279918151</v>
      </c>
    </row>
    <row r="211" spans="1:3" x14ac:dyDescent="0.3">
      <c r="A211">
        <v>210</v>
      </c>
      <c r="C211" s="5">
        <f t="shared" si="3"/>
        <v>17.755271190992673</v>
      </c>
    </row>
    <row r="212" spans="1:3" x14ac:dyDescent="0.3">
      <c r="A212">
        <v>211</v>
      </c>
      <c r="C212" s="5">
        <f t="shared" si="3"/>
        <v>17.797774452276137</v>
      </c>
    </row>
    <row r="213" spans="1:3" x14ac:dyDescent="0.3">
      <c r="A213">
        <v>212</v>
      </c>
      <c r="C213" s="5">
        <f t="shared" si="3"/>
        <v>17.840177776879919</v>
      </c>
    </row>
    <row r="214" spans="1:3" x14ac:dyDescent="0.3">
      <c r="A214">
        <v>213</v>
      </c>
      <c r="C214" s="5">
        <f t="shared" si="3"/>
        <v>17.882481869526938</v>
      </c>
    </row>
    <row r="215" spans="1:3" x14ac:dyDescent="0.3">
      <c r="A215">
        <v>214</v>
      </c>
      <c r="C215" s="5">
        <f t="shared" si="3"/>
        <v>17.924687426689097</v>
      </c>
    </row>
    <row r="216" spans="1:3" x14ac:dyDescent="0.3">
      <c r="A216">
        <v>215</v>
      </c>
      <c r="C216" s="5">
        <f t="shared" si="3"/>
        <v>17.966795136722123</v>
      </c>
    </row>
    <row r="217" spans="1:3" x14ac:dyDescent="0.3">
      <c r="A217">
        <v>216</v>
      </c>
      <c r="C217" s="5">
        <f t="shared" si="3"/>
        <v>18.008805679997252</v>
      </c>
    </row>
    <row r="218" spans="1:3" x14ac:dyDescent="0.3">
      <c r="A218">
        <v>217</v>
      </c>
      <c r="C218" s="5">
        <f t="shared" si="3"/>
        <v>18.050719729030423</v>
      </c>
    </row>
    <row r="219" spans="1:3" x14ac:dyDescent="0.3">
      <c r="A219">
        <v>218</v>
      </c>
      <c r="C219" s="5">
        <f t="shared" si="3"/>
        <v>18.092537948608697</v>
      </c>
    </row>
    <row r="220" spans="1:3" x14ac:dyDescent="0.3">
      <c r="A220">
        <v>219</v>
      </c>
      <c r="C220" s="5">
        <f t="shared" si="3"/>
        <v>18.134260995914101</v>
      </c>
    </row>
    <row r="221" spans="1:3" x14ac:dyDescent="0.3">
      <c r="A221">
        <v>220</v>
      </c>
      <c r="C221" s="5">
        <f t="shared" si="3"/>
        <v>18.175889520644873</v>
      </c>
    </row>
    <row r="222" spans="1:3" x14ac:dyDescent="0.3">
      <c r="A222">
        <v>221</v>
      </c>
      <c r="C222" s="5">
        <f t="shared" si="3"/>
        <v>18.217424165134343</v>
      </c>
    </row>
    <row r="223" spans="1:3" x14ac:dyDescent="0.3">
      <c r="A223">
        <v>222</v>
      </c>
      <c r="C223" s="5">
        <f t="shared" si="3"/>
        <v>18.258865564467282</v>
      </c>
    </row>
    <row r="224" spans="1:3" x14ac:dyDescent="0.3">
      <c r="A224">
        <v>223</v>
      </c>
      <c r="C224" s="5">
        <f t="shared" si="3"/>
        <v>18.300214346593958</v>
      </c>
    </row>
    <row r="225" spans="1:3" x14ac:dyDescent="0.3">
      <c r="A225">
        <v>224</v>
      </c>
      <c r="C225" s="5">
        <f t="shared" si="3"/>
        <v>18.341471132441896</v>
      </c>
    </row>
    <row r="226" spans="1:3" x14ac:dyDescent="0.3">
      <c r="A226">
        <v>225</v>
      </c>
      <c r="C226" s="5">
        <f t="shared" si="3"/>
        <v>18.382636536025394</v>
      </c>
    </row>
    <row r="227" spans="1:3" x14ac:dyDescent="0.3">
      <c r="A227">
        <v>226</v>
      </c>
      <c r="C227" s="5">
        <f t="shared" si="3"/>
        <v>18.423711164552792</v>
      </c>
    </row>
    <row r="228" spans="1:3" x14ac:dyDescent="0.3">
      <c r="A228">
        <v>227</v>
      </c>
      <c r="C228" s="5">
        <f t="shared" si="3"/>
        <v>18.464695618531728</v>
      </c>
    </row>
    <row r="229" spans="1:3" x14ac:dyDescent="0.3">
      <c r="A229">
        <v>228</v>
      </c>
      <c r="C229" s="5">
        <f t="shared" si="3"/>
        <v>18.505590491872194</v>
      </c>
    </row>
    <row r="230" spans="1:3" x14ac:dyDescent="0.3">
      <c r="A230">
        <v>229</v>
      </c>
      <c r="C230" s="5">
        <f t="shared" si="3"/>
        <v>18.546396371987626</v>
      </c>
    </row>
    <row r="231" spans="1:3" x14ac:dyDescent="0.3">
      <c r="A231">
        <v>230</v>
      </c>
      <c r="C231" s="5">
        <f t="shared" si="3"/>
        <v>18.587113839894023</v>
      </c>
    </row>
    <row r="232" spans="1:3" x14ac:dyDescent="0.3">
      <c r="A232">
        <v>231</v>
      </c>
      <c r="C232" s="5">
        <f t="shared" si="3"/>
        <v>18.627743470307045</v>
      </c>
    </row>
    <row r="233" spans="1:3" x14ac:dyDescent="0.3">
      <c r="A233">
        <v>232</v>
      </c>
      <c r="C233" s="5">
        <f t="shared" si="3"/>
        <v>18.668285831737347</v>
      </c>
    </row>
    <row r="234" spans="1:3" x14ac:dyDescent="0.3">
      <c r="A234">
        <v>233</v>
      </c>
      <c r="C234" s="5">
        <f t="shared" si="3"/>
        <v>18.70874148658395</v>
      </c>
    </row>
    <row r="235" spans="1:3" x14ac:dyDescent="0.3">
      <c r="A235">
        <v>234</v>
      </c>
      <c r="C235" s="5">
        <f t="shared" si="3"/>
        <v>18.749110991225894</v>
      </c>
    </row>
    <row r="236" spans="1:3" x14ac:dyDescent="0.3">
      <c r="A236">
        <v>235</v>
      </c>
      <c r="C236" s="5">
        <f t="shared" si="3"/>
        <v>18.789394896112089</v>
      </c>
    </row>
    <row r="237" spans="1:3" x14ac:dyDescent="0.3">
      <c r="A237">
        <v>236</v>
      </c>
      <c r="C237" s="5">
        <f t="shared" si="3"/>
        <v>18.829593745849451</v>
      </c>
    </row>
    <row r="238" spans="1:3" x14ac:dyDescent="0.3">
      <c r="A238">
        <v>237</v>
      </c>
      <c r="C238" s="5">
        <f t="shared" si="3"/>
        <v>18.869708079289403</v>
      </c>
    </row>
    <row r="239" spans="1:3" x14ac:dyDescent="0.3">
      <c r="A239">
        <v>238</v>
      </c>
      <c r="C239" s="5">
        <f t="shared" si="3"/>
        <v>18.909738429612673</v>
      </c>
    </row>
    <row r="240" spans="1:3" x14ac:dyDescent="0.3">
      <c r="A240">
        <v>239</v>
      </c>
      <c r="C240" s="5">
        <f t="shared" si="3"/>
        <v>18.949685324412521</v>
      </c>
    </row>
    <row r="241" spans="1:3" x14ac:dyDescent="0.3">
      <c r="A241">
        <v>240</v>
      </c>
      <c r="C241" s="5">
        <f t="shared" si="3"/>
        <v>18.98954928577642</v>
      </c>
    </row>
    <row r="242" spans="1:3" x14ac:dyDescent="0.3">
      <c r="A242">
        <v>241</v>
      </c>
      <c r="C242" s="5">
        <f t="shared" si="3"/>
        <v>19.029330830366181</v>
      </c>
    </row>
    <row r="243" spans="1:3" x14ac:dyDescent="0.3">
      <c r="A243">
        <v>242</v>
      </c>
      <c r="C243" s="5">
        <f t="shared" si="3"/>
        <v>19.069030469496621</v>
      </c>
    </row>
    <row r="244" spans="1:3" x14ac:dyDescent="0.3">
      <c r="A244">
        <v>243</v>
      </c>
      <c r="C244" s="5">
        <f t="shared" si="3"/>
        <v>19.108648709212673</v>
      </c>
    </row>
    <row r="245" spans="1:3" x14ac:dyDescent="0.3">
      <c r="A245">
        <v>244</v>
      </c>
      <c r="C245" s="5">
        <f t="shared" si="3"/>
        <v>19.148186050365229</v>
      </c>
    </row>
    <row r="246" spans="1:3" x14ac:dyDescent="0.3">
      <c r="A246">
        <v>245</v>
      </c>
      <c r="C246" s="5">
        <f t="shared" si="3"/>
        <v>19.18764298868545</v>
      </c>
    </row>
    <row r="247" spans="1:3" x14ac:dyDescent="0.3">
      <c r="A247">
        <v>246</v>
      </c>
      <c r="C247" s="5">
        <f t="shared" si="3"/>
        <v>19.227020014857732</v>
      </c>
    </row>
    <row r="248" spans="1:3" x14ac:dyDescent="0.3">
      <c r="A248">
        <v>247</v>
      </c>
      <c r="C248" s="5">
        <f t="shared" si="3"/>
        <v>19.26631761459149</v>
      </c>
    </row>
    <row r="249" spans="1:3" x14ac:dyDescent="0.3">
      <c r="A249">
        <v>248</v>
      </c>
      <c r="C249" s="5">
        <f t="shared" si="3"/>
        <v>19.305536268691366</v>
      </c>
    </row>
    <row r="250" spans="1:3" x14ac:dyDescent="0.3">
      <c r="A250">
        <v>249</v>
      </c>
      <c r="C250" s="5">
        <f t="shared" si="3"/>
        <v>19.344676453126411</v>
      </c>
    </row>
    <row r="251" spans="1:3" x14ac:dyDescent="0.3">
      <c r="A251">
        <v>250</v>
      </c>
      <c r="B251">
        <v>19.3</v>
      </c>
      <c r="C251" s="5">
        <f t="shared" si="3"/>
        <v>19.383738639097899</v>
      </c>
    </row>
    <row r="252" spans="1:3" x14ac:dyDescent="0.3">
      <c r="A252">
        <v>251</v>
      </c>
      <c r="C252" s="5">
        <f t="shared" si="3"/>
        <v>19.42272329310596</v>
      </c>
    </row>
    <row r="253" spans="1:3" x14ac:dyDescent="0.3">
      <c r="A253">
        <v>252</v>
      </c>
      <c r="C253" s="5">
        <f t="shared" si="3"/>
        <v>19.461630877014994</v>
      </c>
    </row>
    <row r="254" spans="1:3" x14ac:dyDescent="0.3">
      <c r="A254">
        <v>253</v>
      </c>
      <c r="C254" s="5">
        <f t="shared" si="3"/>
        <v>19.500461848117908</v>
      </c>
    </row>
    <row r="255" spans="1:3" x14ac:dyDescent="0.3">
      <c r="A255">
        <v>254</v>
      </c>
      <c r="C255" s="5">
        <f t="shared" si="3"/>
        <v>19.53921665919928</v>
      </c>
    </row>
    <row r="256" spans="1:3" x14ac:dyDescent="0.3">
      <c r="A256">
        <v>255</v>
      </c>
      <c r="C256" s="5">
        <f t="shared" si="3"/>
        <v>19.577895758597354</v>
      </c>
    </row>
    <row r="257" spans="1:3" x14ac:dyDescent="0.3">
      <c r="A257">
        <v>256</v>
      </c>
      <c r="C257" s="5">
        <f t="shared" si="3"/>
        <v>19.616499590264951</v>
      </c>
    </row>
    <row r="258" spans="1:3" x14ac:dyDescent="0.3">
      <c r="A258">
        <v>257</v>
      </c>
      <c r="C258" s="5">
        <f t="shared" si="3"/>
        <v>19.655028593829282</v>
      </c>
    </row>
    <row r="259" spans="1:3" x14ac:dyDescent="0.3">
      <c r="A259">
        <v>258</v>
      </c>
      <c r="C259" s="5">
        <f t="shared" ref="C259:C301" si="4">1.2038*POWER(A259,0.5033)</f>
        <v>19.693483204650786</v>
      </c>
    </row>
    <row r="260" spans="1:3" x14ac:dyDescent="0.3">
      <c r="A260">
        <v>259</v>
      </c>
      <c r="C260" s="5">
        <f t="shared" si="4"/>
        <v>19.731863853880864</v>
      </c>
    </row>
    <row r="261" spans="1:3" x14ac:dyDescent="0.3">
      <c r="A261">
        <v>260</v>
      </c>
      <c r="C261" s="5">
        <f t="shared" si="4"/>
        <v>19.770170968518709</v>
      </c>
    </row>
    <row r="262" spans="1:3" x14ac:dyDescent="0.3">
      <c r="A262">
        <v>261</v>
      </c>
      <c r="C262" s="5">
        <f t="shared" si="4"/>
        <v>19.808404971467027</v>
      </c>
    </row>
    <row r="263" spans="1:3" x14ac:dyDescent="0.3">
      <c r="A263">
        <v>262</v>
      </c>
      <c r="C263" s="5">
        <f t="shared" si="4"/>
        <v>19.846566281586899</v>
      </c>
    </row>
    <row r="264" spans="1:3" x14ac:dyDescent="0.3">
      <c r="A264">
        <v>263</v>
      </c>
      <c r="C264" s="5">
        <f t="shared" si="4"/>
        <v>19.884655313751693</v>
      </c>
    </row>
    <row r="265" spans="1:3" x14ac:dyDescent="0.3">
      <c r="A265">
        <v>264</v>
      </c>
      <c r="C265" s="5">
        <f t="shared" si="4"/>
        <v>19.922672478899987</v>
      </c>
    </row>
    <row r="266" spans="1:3" x14ac:dyDescent="0.3">
      <c r="A266">
        <v>265</v>
      </c>
      <c r="C266" s="5">
        <f t="shared" si="4"/>
        <v>19.960618184087668</v>
      </c>
    </row>
    <row r="267" spans="1:3" x14ac:dyDescent="0.3">
      <c r="A267">
        <v>266</v>
      </c>
      <c r="C267" s="5">
        <f t="shared" si="4"/>
        <v>19.998492832539121</v>
      </c>
    </row>
    <row r="268" spans="1:3" x14ac:dyDescent="0.3">
      <c r="A268">
        <v>267</v>
      </c>
      <c r="C268" s="5">
        <f t="shared" si="4"/>
        <v>20.036296823697523</v>
      </c>
    </row>
    <row r="269" spans="1:3" x14ac:dyDescent="0.3">
      <c r="A269">
        <v>268</v>
      </c>
      <c r="C269" s="5">
        <f t="shared" si="4"/>
        <v>20.074030553274323</v>
      </c>
    </row>
    <row r="270" spans="1:3" x14ac:dyDescent="0.3">
      <c r="A270">
        <v>269</v>
      </c>
      <c r="C270" s="5">
        <f t="shared" si="4"/>
        <v>20.111694413297915</v>
      </c>
    </row>
    <row r="271" spans="1:3" x14ac:dyDescent="0.3">
      <c r="A271">
        <v>270</v>
      </c>
      <c r="C271" s="5">
        <f t="shared" si="4"/>
        <v>20.149288792161453</v>
      </c>
    </row>
    <row r="272" spans="1:3" x14ac:dyDescent="0.3">
      <c r="A272">
        <v>271</v>
      </c>
      <c r="C272" s="5">
        <f t="shared" si="4"/>
        <v>20.186814074669847</v>
      </c>
    </row>
    <row r="273" spans="1:3" x14ac:dyDescent="0.3">
      <c r="A273">
        <v>272</v>
      </c>
      <c r="C273" s="5">
        <f t="shared" si="4"/>
        <v>20.2242706420861</v>
      </c>
    </row>
    <row r="274" spans="1:3" x14ac:dyDescent="0.3">
      <c r="A274">
        <v>273</v>
      </c>
      <c r="C274" s="5">
        <f t="shared" si="4"/>
        <v>20.261658872176731</v>
      </c>
    </row>
    <row r="275" spans="1:3" x14ac:dyDescent="0.3">
      <c r="A275">
        <v>274</v>
      </c>
      <c r="C275" s="5">
        <f t="shared" si="4"/>
        <v>20.298979139256566</v>
      </c>
    </row>
    <row r="276" spans="1:3" x14ac:dyDescent="0.3">
      <c r="A276">
        <v>275</v>
      </c>
      <c r="C276" s="5">
        <f t="shared" si="4"/>
        <v>20.336231814232697</v>
      </c>
    </row>
    <row r="277" spans="1:3" x14ac:dyDescent="0.3">
      <c r="A277">
        <v>276</v>
      </c>
      <c r="C277" s="5">
        <f t="shared" si="4"/>
        <v>20.373417264647816</v>
      </c>
    </row>
    <row r="278" spans="1:3" x14ac:dyDescent="0.3">
      <c r="A278">
        <v>277</v>
      </c>
      <c r="C278" s="5">
        <f t="shared" si="4"/>
        <v>20.410535854722809</v>
      </c>
    </row>
    <row r="279" spans="1:3" x14ac:dyDescent="0.3">
      <c r="A279">
        <v>278</v>
      </c>
      <c r="C279" s="5">
        <f t="shared" si="4"/>
        <v>20.447587945398606</v>
      </c>
    </row>
    <row r="280" spans="1:3" x14ac:dyDescent="0.3">
      <c r="A280">
        <v>279</v>
      </c>
      <c r="C280" s="5">
        <f t="shared" si="4"/>
        <v>20.484573894377426</v>
      </c>
    </row>
    <row r="281" spans="1:3" x14ac:dyDescent="0.3">
      <c r="A281">
        <v>280</v>
      </c>
      <c r="C281" s="5">
        <f t="shared" si="4"/>
        <v>20.521494056163352</v>
      </c>
    </row>
    <row r="282" spans="1:3" x14ac:dyDescent="0.3">
      <c r="A282">
        <v>281</v>
      </c>
      <c r="C282" s="5">
        <f t="shared" si="4"/>
        <v>20.558348782102179</v>
      </c>
    </row>
    <row r="283" spans="1:3" x14ac:dyDescent="0.3">
      <c r="A283">
        <v>282</v>
      </c>
      <c r="C283" s="5">
        <f t="shared" si="4"/>
        <v>20.595138420420756</v>
      </c>
    </row>
    <row r="284" spans="1:3" x14ac:dyDescent="0.3">
      <c r="A284">
        <v>283</v>
      </c>
      <c r="C284" s="5">
        <f t="shared" si="4"/>
        <v>20.631863316265541</v>
      </c>
    </row>
    <row r="285" spans="1:3" x14ac:dyDescent="0.3">
      <c r="A285">
        <v>284</v>
      </c>
      <c r="C285" s="5">
        <f t="shared" si="4"/>
        <v>20.668523811740702</v>
      </c>
    </row>
    <row r="286" spans="1:3" x14ac:dyDescent="0.3">
      <c r="A286">
        <v>285</v>
      </c>
      <c r="C286" s="5">
        <f t="shared" si="4"/>
        <v>20.705120245945526</v>
      </c>
    </row>
    <row r="287" spans="1:3" x14ac:dyDescent="0.3">
      <c r="A287">
        <v>286</v>
      </c>
      <c r="C287" s="5">
        <f t="shared" si="4"/>
        <v>20.741652955011194</v>
      </c>
    </row>
    <row r="288" spans="1:3" x14ac:dyDescent="0.3">
      <c r="A288">
        <v>287</v>
      </c>
      <c r="C288" s="5">
        <f t="shared" si="4"/>
        <v>20.778122272137143</v>
      </c>
    </row>
    <row r="289" spans="1:3" x14ac:dyDescent="0.3">
      <c r="A289">
        <v>288</v>
      </c>
      <c r="C289" s="5">
        <f t="shared" si="4"/>
        <v>20.814528527626639</v>
      </c>
    </row>
    <row r="290" spans="1:3" x14ac:dyDescent="0.3">
      <c r="A290">
        <v>289</v>
      </c>
      <c r="C290" s="5">
        <f t="shared" si="4"/>
        <v>20.850872048922014</v>
      </c>
    </row>
    <row r="291" spans="1:3" x14ac:dyDescent="0.3">
      <c r="A291">
        <v>290</v>
      </c>
      <c r="C291" s="5">
        <f t="shared" si="4"/>
        <v>20.887153160639194</v>
      </c>
    </row>
    <row r="292" spans="1:3" x14ac:dyDescent="0.3">
      <c r="A292">
        <v>291</v>
      </c>
      <c r="C292" s="5">
        <f t="shared" si="4"/>
        <v>20.923372184601764</v>
      </c>
    </row>
    <row r="293" spans="1:3" x14ac:dyDescent="0.3">
      <c r="A293">
        <v>292</v>
      </c>
      <c r="C293" s="5">
        <f t="shared" si="4"/>
        <v>20.959529439874469</v>
      </c>
    </row>
    <row r="294" spans="1:3" x14ac:dyDescent="0.3">
      <c r="A294">
        <v>293</v>
      </c>
      <c r="C294" s="5">
        <f t="shared" si="4"/>
        <v>20.995625242796287</v>
      </c>
    </row>
    <row r="295" spans="1:3" x14ac:dyDescent="0.3">
      <c r="A295">
        <v>294</v>
      </c>
      <c r="C295" s="5">
        <f t="shared" si="4"/>
        <v>21.031659907012848</v>
      </c>
    </row>
    <row r="296" spans="1:3" x14ac:dyDescent="0.3">
      <c r="A296">
        <v>295</v>
      </c>
      <c r="C296" s="5">
        <f t="shared" si="4"/>
        <v>21.067633743508512</v>
      </c>
    </row>
    <row r="297" spans="1:3" x14ac:dyDescent="0.3">
      <c r="A297">
        <v>296</v>
      </c>
      <c r="C297" s="5">
        <f t="shared" si="4"/>
        <v>21.103547060637826</v>
      </c>
    </row>
    <row r="298" spans="1:3" x14ac:dyDescent="0.3">
      <c r="A298">
        <v>297</v>
      </c>
      <c r="C298" s="5">
        <f t="shared" si="4"/>
        <v>21.139400164156651</v>
      </c>
    </row>
    <row r="299" spans="1:3" x14ac:dyDescent="0.3">
      <c r="A299">
        <v>298</v>
      </c>
      <c r="C299" s="5">
        <f t="shared" si="4"/>
        <v>21.175193357252624</v>
      </c>
    </row>
    <row r="300" spans="1:3" x14ac:dyDescent="0.3">
      <c r="A300">
        <v>299</v>
      </c>
      <c r="C300" s="5">
        <f t="shared" si="4"/>
        <v>21.210926940575341</v>
      </c>
    </row>
    <row r="301" spans="1:3" x14ac:dyDescent="0.3">
      <c r="A301">
        <v>300</v>
      </c>
      <c r="B301">
        <v>21</v>
      </c>
      <c r="C301" s="5">
        <f t="shared" si="4"/>
        <v>21.24660121226599</v>
      </c>
    </row>
  </sheetData>
  <pageMargins left="0.7" right="0.7" top="0.75" bottom="0.75" header="0.3" footer="0.3"/>
  <pageSetup orientation="portrait" r:id="rId1"/>
  <headerFooter>
    <oddHeader>&amp;C&amp;"Arial Black"&amp;12&amp;K000000CUI - Leidos Proprietary&amp;1#</oddHeader>
    <oddFooter>&amp;C&amp;1#&amp;"Arial"&amp;8&amp;K000000The information in this document is proprietary to Leidos. It may not be used, reproduced, disclosed, or exported without the written approval of Leidos.</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c8d5760e-638a-47e8-9e2e-1226c2cb268d" origin="autoSelectedSuggestion">
  <element uid="6e9d1c3a-daa2-43ec-82bb-7652723ced44" value=""/>
  <element uid="f0589dee-a123-4f44-9f83-67b0d338ac68" value=""/>
  <element uid="c2f35e44-287e-41ee-bb97-e5ebacbb8e9f" value=""/>
</sisl>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jOGQ1NzYwZS02MzhhLTQ3ZTgtOWUyZS0xMjI2YzJjYjI2OGQiIG9yaWdpbj0iYXV0b1NlbGVjdGVkU3VnZ2VzdGlvbiI+PGVsZW1lbnQgdWlkPSI2ZTlkMWMzYS1kYWEyLTQzZWMtODJiYi03NjUyNzIzY2VkNDQiIHZhbHVlPSIiIHhtbG5zPSJodHRwOi8vd3d3LmJvbGRvbmphbWVzLmNvbS8yMDA4LzAxL3NpZS9pbnRlcm5hbC9sYWJlbCIgLz48ZWxlbWVudCB1aWQ9ImYwNTg5ZGVlLWExMjMtNGY0NC05ZjgzLTY3YjBkMzM4YWM2OCIgdmFsdWU9IiIgeG1sbnM9Imh0dHA6Ly93d3cuYm9sZG9uamFtZXMuY29tLzIwMDgvMDEvc2llL2ludGVybmFsL2xhYmVsIiAvPjxlbGVtZW50IHVpZD0iYzJmMzVlNDQtMjg3ZS00MWVlLWJiOTctZTVlYmFjYmI4ZTlmIiB2YWx1ZT0iIiB4bWxucz0iaHR0cDovL3d3dy5ib2xkb25qYW1lcy5jb20vMjAwOC8wMS9zaWUvaW50ZXJuYWwvbGFiZWwiIC8+PC9zaXNsPjxVc2VyTmFtZT5MRUlET1MtQ09SUFxraXBlcmlpbDwvVXNlck5hbWU+PERhdGVUaW1lPjcvMTMvMjAyMiA0OjE2OjE4IFBNPC9EYXRlVGltZT48TGFiZWxTdHJpbmc+TTM2NSBNYXJrZWQgLSBDVUkgKExlaWRvcyBQcm9wcmlldGFyeSk8L0xhYmVsU3RyaW5nPjwvaXRlbT48L2xhYmVsSGlzdG9yeT4=</Value>
</WrappedLabelHistory>
</file>

<file path=customXml/itemProps1.xml><?xml version="1.0" encoding="utf-8"?>
<ds:datastoreItem xmlns:ds="http://schemas.openxmlformats.org/officeDocument/2006/customXml" ds:itemID="{7288CA5D-5D94-4667-9B1C-D9D83FBB563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2F7AFA54-B61B-4E90-9DE3-A9968E2440A6}">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Cable Length Calculator</vt:lpstr>
      <vt:lpstr>Bundle Factors</vt:lpstr>
    </vt:vector>
  </TitlesOfParts>
  <Manager/>
  <Company>Dynetics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Ashton</dc:creator>
  <cp:keywords/>
  <dc:description/>
  <cp:lastModifiedBy>Carley Byerley</cp:lastModifiedBy>
  <cp:revision/>
  <dcterms:created xsi:type="dcterms:W3CDTF">2021-07-13T19:53:47Z</dcterms:created>
  <dcterms:modified xsi:type="dcterms:W3CDTF">2026-04-03T00:56:02Z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d3c5daad-4b29-4fca-86ef-e134e7f958bf</vt:lpwstr>
  </property>
  <property fmtid="{D5CDD505-2E9C-101B-9397-08002B2CF9AE}" pid="3" name="bjSaver">
    <vt:lpwstr>3+1woPPIFKgdykmElAJPaiY3kZTlCF3H</vt:lpwstr>
  </property>
  <property fmtid="{D5CDD505-2E9C-101B-9397-08002B2CF9AE}" pid="4" name="bjDocumentLabelXML">
    <vt:lpwstr>&lt;?xml version="1.0" encoding="us-ascii"?&gt;&lt;sisl xmlns:xsd="http://www.w3.org/2001/XMLSchema" xmlns:xsi="http://www.w3.org/2001/XMLSchema-instance" sislVersion="0" policy="c8d5760e-638a-47e8-9e2e-1226c2cb268d" origin="autoSelectedSuggestion" xmlns="http://w</vt:lpwstr>
  </property>
  <property fmtid="{D5CDD505-2E9C-101B-9397-08002B2CF9AE}" pid="5" name="bjDocumentLabelXML-0">
    <vt:lpwstr>ww.boldonjames.com/2008/01/sie/internal/label"&gt;&lt;element uid="6e9d1c3a-daa2-43ec-82bb-7652723ced44" value="" /&gt;&lt;element uid="f0589dee-a123-4f44-9f83-67b0d338ac68" value="" /&gt;&lt;element uid="c2f35e44-287e-41ee-bb97-e5ebacbb8e9f" value="" /&gt;&lt;/sisl&gt;</vt:lpwstr>
  </property>
  <property fmtid="{D5CDD505-2E9C-101B-9397-08002B2CF9AE}" pid="6" name="bjDocumentSecurityLabel">
    <vt:lpwstr>M365 Marked - CUI (Leidos Proprietary)</vt:lpwstr>
  </property>
  <property fmtid="{D5CDD505-2E9C-101B-9397-08002B2CF9AE}" pid="7" name="bjLabelHistoryID">
    <vt:lpwstr>{2F7AFA54-B61B-4E90-9DE3-A9968E2440A6}</vt:lpwstr>
  </property>
  <property fmtid="{D5CDD505-2E9C-101B-9397-08002B2CF9AE}" pid="8" name="MSIP_Label_44ffd335-97e5-4827-b834-53010f598871_Enabled">
    <vt:lpwstr>true</vt:lpwstr>
  </property>
  <property fmtid="{D5CDD505-2E9C-101B-9397-08002B2CF9AE}" pid="9" name="MSIP_Label_44ffd335-97e5-4827-b834-53010f598871_SetDate">
    <vt:lpwstr>2023-03-31T14:16:04Z</vt:lpwstr>
  </property>
  <property fmtid="{D5CDD505-2E9C-101B-9397-08002B2CF9AE}" pid="10" name="MSIP_Label_44ffd335-97e5-4827-b834-53010f598871_Method">
    <vt:lpwstr>Privileged</vt:lpwstr>
  </property>
  <property fmtid="{D5CDD505-2E9C-101B-9397-08002B2CF9AE}" pid="11" name="MSIP_Label_44ffd335-97e5-4827-b834-53010f598871_Name">
    <vt:lpwstr>Controlled Unclassified Information (CUI) - Leidos Proprietary</vt:lpwstr>
  </property>
  <property fmtid="{D5CDD505-2E9C-101B-9397-08002B2CF9AE}" pid="12" name="MSIP_Label_44ffd335-97e5-4827-b834-53010f598871_SiteId">
    <vt:lpwstr>b64da4ac-e800-4cfc-8931-e607f720a1b8</vt:lpwstr>
  </property>
  <property fmtid="{D5CDD505-2E9C-101B-9397-08002B2CF9AE}" pid="13" name="MSIP_Label_44ffd335-97e5-4827-b834-53010f598871_ActionId">
    <vt:lpwstr>26548c37-2b76-4f00-8901-3c74a15c3715</vt:lpwstr>
  </property>
  <property fmtid="{D5CDD505-2E9C-101B-9397-08002B2CF9AE}" pid="14" name="MSIP_Label_44ffd335-97e5-4827-b834-53010f598871_ContentBits">
    <vt:lpwstr>3</vt:lpwstr>
  </property>
</Properties>
</file>